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hidePivotFieldList="1"/>
  <mc:AlternateContent xmlns:mc="http://schemas.openxmlformats.org/markup-compatibility/2006">
    <mc:Choice Requires="x15">
      <x15ac:absPath xmlns:x15ac="http://schemas.microsoft.com/office/spreadsheetml/2010/11/ac" url="/Users/jryan/Desktop/"/>
    </mc:Choice>
  </mc:AlternateContent>
  <xr:revisionPtr revIDLastSave="0" documentId="13_ncr:1_{BEFEF743-8472-0146-A063-993D767AC861}" xr6:coauthVersionLast="47" xr6:coauthVersionMax="47" xr10:uidLastSave="{00000000-0000-0000-0000-000000000000}"/>
  <bookViews>
    <workbookView xWindow="0" yWindow="500" windowWidth="28800" windowHeight="15800" xr2:uid="{00000000-000D-0000-FFFF-FFFF00000000}"/>
  </bookViews>
  <sheets>
    <sheet name="Dashboard" sheetId="3" r:id="rId1"/>
    <sheet name="Financial Logger" sheetId="2" r:id="rId2"/>
    <sheet name="Crypto API" sheetId="5" state="hidden" r:id="rId3"/>
  </sheets>
  <definedNames>
    <definedName name="_xlnm._FilterDatabase" localSheetId="1" hidden="1">'Financial Logger'!$B$6:$F$146</definedName>
    <definedName name="ExternalData_1" localSheetId="2" hidden="1">'Crypto API'!$A$1:$G$101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3" l="1"/>
  <c r="F43" i="3"/>
  <c r="D45" i="3" a="1"/>
  <c r="D45" i="3" s="1"/>
  <c r="D46" i="3" a="1"/>
  <c r="D46" i="3" s="1"/>
  <c r="D44" i="3" a="1"/>
  <c r="D44" i="3" s="1"/>
  <c r="K35" i="3" a="1"/>
  <c r="K35" i="3" s="1"/>
  <c r="K36" i="3" a="1"/>
  <c r="K36" i="3" s="1"/>
  <c r="K34" i="3" a="1"/>
  <c r="K34" i="3" s="1"/>
  <c r="K32" i="3"/>
  <c r="E42" i="3" s="1"/>
  <c r="J32" i="3"/>
  <c r="K33" i="3"/>
  <c r="J33" i="3"/>
  <c r="F38" i="3"/>
  <c r="L9" i="3" s="1"/>
  <c r="F41" i="3"/>
  <c r="N34" i="3" l="1" a="1"/>
  <c r="N34" i="3" s="1"/>
  <c r="M34" i="3" a="1"/>
  <c r="M34" i="3" s="1"/>
  <c r="O34" i="3" a="1"/>
  <c r="O34" i="3" s="1"/>
  <c r="H42" i="3"/>
  <c r="D42" i="3"/>
  <c r="I32" i="3"/>
  <c r="G32" i="3" s="1"/>
  <c r="I33" i="3"/>
  <c r="G33" i="3" s="1"/>
  <c r="H33" i="3" s="1"/>
  <c r="H43" i="3"/>
  <c r="E43" i="3"/>
  <c r="D43" i="3" s="1"/>
  <c r="J34" i="3"/>
  <c r="J35" i="3"/>
  <c r="J36" i="3"/>
  <c r="J31" i="3"/>
  <c r="K31" i="3"/>
  <c r="J42" i="3" l="1"/>
  <c r="J43" i="3"/>
  <c r="H32" i="3"/>
  <c r="E45" i="3"/>
  <c r="E46" i="3"/>
  <c r="E44" i="3"/>
  <c r="I31" i="3"/>
  <c r="E41" i="3"/>
  <c r="D41" i="3" s="1"/>
  <c r="H41" i="3"/>
  <c r="I35" i="3"/>
  <c r="G35" i="3" s="1"/>
  <c r="H35" i="3" s="1"/>
  <c r="I36" i="3"/>
  <c r="G36" i="3" s="1"/>
  <c r="I34" i="3"/>
  <c r="G34" i="3" s="1"/>
  <c r="D21" i="3"/>
  <c r="D20" i="3"/>
  <c r="F44" i="3" l="1"/>
  <c r="H44" i="3" s="1"/>
  <c r="J44" i="3" s="1"/>
  <c r="F46" i="3"/>
  <c r="H46" i="3" s="1"/>
  <c r="J46" i="3" s="1"/>
  <c r="F45" i="3"/>
  <c r="H45" i="3" s="1"/>
  <c r="J45" i="3" s="1"/>
  <c r="H36" i="3"/>
  <c r="E51" i="3"/>
  <c r="H34" i="3"/>
  <c r="D22" i="3"/>
  <c r="G31" i="3"/>
  <c r="H51" i="3" s="1"/>
  <c r="G38" i="3" l="1"/>
  <c r="L32" i="3" s="1"/>
  <c r="F52" i="3"/>
  <c r="E52" i="3" s="1"/>
  <c r="J41" i="3"/>
  <c r="H31" i="3"/>
  <c r="I52" i="3" l="1"/>
  <c r="H52" i="3" s="1"/>
  <c r="L37" i="3"/>
  <c r="L33" i="3"/>
  <c r="H38" i="3"/>
  <c r="I38" i="3" s="1"/>
  <c r="J47" i="3"/>
  <c r="L31" i="3"/>
  <c r="B51" i="3"/>
  <c r="L34" i="3"/>
  <c r="L35" i="3"/>
  <c r="L36" i="3"/>
  <c r="L8" i="3"/>
  <c r="L10" i="3" s="1"/>
  <c r="L38" i="3" l="1"/>
  <c r="H47" i="3"/>
  <c r="C52" i="3"/>
  <c r="B52"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EA5367-04CC-4CB2-AD7D-8078FA06D1DE}" keepAlive="1" name="Query - AMZN" description="Connection to the 'AMZN' query in the workbook." type="5" refreshedVersion="8" background="1" saveData="1">
    <dbPr connection="Provider=Microsoft.Mashup.OleDb.1;Data Source=$Workbook$;Location=AMZN;Extended Properties=&quot;&quot;" command="SELECT * FROM [AMZN]"/>
  </connection>
  <connection id="2" xr16:uid="{86A4EE59-1CEB-482F-92BD-B9EFC3DB40DF}" keepAlive="1" name="Query - BLV" description="Connection to the 'BLV' query in the workbook." type="5" refreshedVersion="8" background="1" saveData="1">
    <dbPr connection="Provider=Microsoft.Mashup.OleDb.1;Data Source=$Workbook$;Location=BLV;Extended Properties=&quot;&quot;" command="SELECT * FROM [BLV]"/>
  </connection>
  <connection id="3" xr16:uid="{B8F303B3-94CA-463C-88FE-BD34095F7B38}" keepAlive="1" name="Query - CSCO" description="Connection to the 'CSCO' query in the workbook." type="5" refreshedVersion="8" background="1" saveData="1">
    <dbPr connection="Provider=Microsoft.Mashup.OleDb.1;Data Source=$Workbook$;Location=CSCO;Extended Properties=&quot;&quot;" command="SELECT * FROM [CSCO]"/>
  </connection>
  <connection id="4" xr16:uid="{E2AC98EB-E12B-49AF-B37D-30F81D60A53F}" keepAlive="1" name="Query - markets?vs_currency=USD&amp;order=market_cap_desc&amp;per_page=100&amp;page=1&amp;sparkline=fals" description="Connection to the 'markets?vs_currency=USD&amp;order=market_cap_desc&amp;per_page=100&amp;page=1&amp;sparkline=fals' query in the workbook." type="5" refreshedVersion="8" background="1" saveData="1">
    <dbPr connection="Provider=Microsoft.Mashup.OleDb.1;Data Source=$Workbook$;Location=&quot;markets?vs_currency=USD&amp;order=market_cap_desc&amp;per_page=100&amp;page=1&amp;sparkline=fals&quot;;Extended Properties=&quot;&quot;" command="SELECT * FROM [markets?vs_currency=USD&amp;order=market_cap_desc&amp;per_page=100&amp;page=1&amp;sparkline=fa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6"/>
        </ext>
      </extLst>
    </bk>
    <bk>
      <extLst>
        <ext uri="{3e2802c4-a4d2-4d8b-9148-e3be6c30e623}">
          <xlrd:rvb i="9"/>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<sst xmlns="http://schemas.openxmlformats.org/spreadsheetml/2006/main" count="836" uniqueCount="310">
  <si>
    <t>TOTALS</t>
  </si>
  <si>
    <t>Gross Income</t>
  </si>
  <si>
    <t>Date</t>
  </si>
  <si>
    <t>Event</t>
  </si>
  <si>
    <t>Paycheck</t>
  </si>
  <si>
    <t>Withholdings</t>
  </si>
  <si>
    <t>Net Income</t>
  </si>
  <si>
    <t>Deposit</t>
  </si>
  <si>
    <t>Amount</t>
  </si>
  <si>
    <t>Account</t>
  </si>
  <si>
    <t>Source</t>
  </si>
  <si>
    <t>Checking</t>
  </si>
  <si>
    <t>Notes</t>
  </si>
  <si>
    <t>Total Gross Income</t>
  </si>
  <si>
    <t>Total Net Income</t>
  </si>
  <si>
    <t>Total Withholdings</t>
  </si>
  <si>
    <t>CASH FLOW</t>
  </si>
  <si>
    <t>Total Deposits</t>
  </si>
  <si>
    <t>Total Withdrawals</t>
  </si>
  <si>
    <t>INVESTMENTS</t>
  </si>
  <si>
    <t>Total Inflow</t>
  </si>
  <si>
    <t>Total Outflow</t>
  </si>
  <si>
    <t>Net Savings</t>
  </si>
  <si>
    <t>SAVINGS</t>
  </si>
  <si>
    <t>DISPOSIBLE INCOME</t>
  </si>
  <si>
    <t>Net Disposible Income</t>
  </si>
  <si>
    <t>MONTHLY BUDGET</t>
  </si>
  <si>
    <t>Total Expenses</t>
  </si>
  <si>
    <t>Monthly Budget</t>
  </si>
  <si>
    <t>Remaining Budget</t>
  </si>
  <si>
    <t>Expense</t>
  </si>
  <si>
    <t>Category</t>
  </si>
  <si>
    <t>Payment</t>
  </si>
  <si>
    <t>Savings</t>
  </si>
  <si>
    <t>Transfer</t>
  </si>
  <si>
    <t>Destination</t>
  </si>
  <si>
    <t>Roth IRA</t>
  </si>
  <si>
    <t>Beg. Balance</t>
  </si>
  <si>
    <t>Credit</t>
  </si>
  <si>
    <t>Total Withdrawals/Transfers</t>
  </si>
  <si>
    <t>Net Cash Flow</t>
  </si>
  <si>
    <t>Deposits less Withdrawals and Expenses</t>
  </si>
  <si>
    <t>Deposits add Transfers to, Less Transfers From, Withdrawals, and Expenses</t>
  </si>
  <si>
    <t>Deposits less Withdrawals</t>
  </si>
  <si>
    <t>Gross Income less Withholdings/Taxes</t>
  </si>
  <si>
    <t>Monthly Budget less Expenses</t>
  </si>
  <si>
    <t>CASH ON HAND</t>
  </si>
  <si>
    <t>Cash on Hand</t>
  </si>
  <si>
    <t>Disposible Income add Savings</t>
  </si>
  <si>
    <t>ANNUAL BUDGET</t>
  </si>
  <si>
    <t>Annual Budget less Expenses</t>
  </si>
  <si>
    <t>Annual Budget</t>
  </si>
  <si>
    <t>Binance</t>
  </si>
  <si>
    <t>Current Value</t>
  </si>
  <si>
    <t>Unrealized Gain/Loss</t>
  </si>
  <si>
    <t>Current Value less Cost Basis</t>
  </si>
  <si>
    <t>Realized Gains less Realized Losses</t>
  </si>
  <si>
    <t>Realized Gains</t>
  </si>
  <si>
    <t>Realized Losses</t>
  </si>
  <si>
    <t>Realized Gain/Loss</t>
  </si>
  <si>
    <t>ANNUAL INCOME</t>
  </si>
  <si>
    <t>INVESTMENTS GAIN / LOSS</t>
  </si>
  <si>
    <t>Cost Basis</t>
  </si>
  <si>
    <t>ASSET</t>
  </si>
  <si>
    <t>QUANTITY</t>
  </si>
  <si>
    <t>COST BASIS</t>
  </si>
  <si>
    <t>CURR. VALUE</t>
  </si>
  <si>
    <t>PORTFOLIO %</t>
  </si>
  <si>
    <t>$ AVERAGE</t>
  </si>
  <si>
    <t>$ SPOT</t>
  </si>
  <si>
    <t>$ GROWTH</t>
  </si>
  <si>
    <t>% GROWTH</t>
  </si>
  <si>
    <t>BROKER</t>
  </si>
  <si>
    <t>BTC</t>
  </si>
  <si>
    <t>AMZN</t>
  </si>
  <si>
    <t>Binance.US</t>
  </si>
  <si>
    <t>Merril Edge</t>
  </si>
  <si>
    <t>BLV</t>
  </si>
  <si>
    <t>CSCO</t>
  </si>
  <si>
    <t>coin</t>
  </si>
  <si>
    <t>ticker</t>
  </si>
  <si>
    <t>price</t>
  </si>
  <si>
    <t>mcap</t>
  </si>
  <si>
    <t>mcap rank</t>
  </si>
  <si>
    <t>volume</t>
  </si>
  <si>
    <t>24 hr change</t>
  </si>
  <si>
    <t>bitcoin</t>
  </si>
  <si>
    <t>ethereum</t>
  </si>
  <si>
    <t>tether</t>
  </si>
  <si>
    <t>usd-coin</t>
  </si>
  <si>
    <t>binancecoin</t>
  </si>
  <si>
    <t>binance-usd</t>
  </si>
  <si>
    <t>ripple</t>
  </si>
  <si>
    <t>cardano</t>
  </si>
  <si>
    <t>solana</t>
  </si>
  <si>
    <t>dogecoin</t>
  </si>
  <si>
    <t>polkadot</t>
  </si>
  <si>
    <t>shiba-inu</t>
  </si>
  <si>
    <t>avalanche-2</t>
  </si>
  <si>
    <t>matic-network</t>
  </si>
  <si>
    <t>dai</t>
  </si>
  <si>
    <t>staked-ether</t>
  </si>
  <si>
    <t>tron</t>
  </si>
  <si>
    <t>wrapped-bitcoin</t>
  </si>
  <si>
    <t>leo-token</t>
  </si>
  <si>
    <t>litecoin</t>
  </si>
  <si>
    <t>ftx-token</t>
  </si>
  <si>
    <t>okb</t>
  </si>
  <si>
    <t>crypto-com-chain</t>
  </si>
  <si>
    <t>chainlink</t>
  </si>
  <si>
    <t>ethereum-classic</t>
  </si>
  <si>
    <t>near</t>
  </si>
  <si>
    <t>uniswap</t>
  </si>
  <si>
    <t>stellar</t>
  </si>
  <si>
    <t>cosmos</t>
  </si>
  <si>
    <t>monero</t>
  </si>
  <si>
    <t>algorand</t>
  </si>
  <si>
    <t>bitcoin-cash</t>
  </si>
  <si>
    <t>flow</t>
  </si>
  <si>
    <t>vechain</t>
  </si>
  <si>
    <t>chain-2</t>
  </si>
  <si>
    <t>apecoin</t>
  </si>
  <si>
    <t>internet-computer</t>
  </si>
  <si>
    <t>decentraland</t>
  </si>
  <si>
    <t>the-sandbox</t>
  </si>
  <si>
    <t>hedera-hashgraph</t>
  </si>
  <si>
    <t>tezos</t>
  </si>
  <si>
    <t>frax</t>
  </si>
  <si>
    <t>quant-network</t>
  </si>
  <si>
    <t>filecoin</t>
  </si>
  <si>
    <t>axie-infinity</t>
  </si>
  <si>
    <t>elrond-erd-2</t>
  </si>
  <si>
    <t>aave</t>
  </si>
  <si>
    <t>theta-token</t>
  </si>
  <si>
    <t>true-usd</t>
  </si>
  <si>
    <t>helium</t>
  </si>
  <si>
    <t>bitcoin-cash-sv</t>
  </si>
  <si>
    <t>eos</t>
  </si>
  <si>
    <t>kucoin-shares</t>
  </si>
  <si>
    <t>compound-usd-coin</t>
  </si>
  <si>
    <t>maker</t>
  </si>
  <si>
    <t>bittorrent</t>
  </si>
  <si>
    <t>compound-ether</t>
  </si>
  <si>
    <t>iota</t>
  </si>
  <si>
    <t>paxos-standard</t>
  </si>
  <si>
    <t>fantom</t>
  </si>
  <si>
    <t>the-graph</t>
  </si>
  <si>
    <t>ecash</t>
  </si>
  <si>
    <t>zcash</t>
  </si>
  <si>
    <t>lido-dao</t>
  </si>
  <si>
    <t>thorchain</t>
  </si>
  <si>
    <t>klay-token</t>
  </si>
  <si>
    <t>huobi-token</t>
  </si>
  <si>
    <t>cdai</t>
  </si>
  <si>
    <t>arweave</t>
  </si>
  <si>
    <t>usdd</t>
  </si>
  <si>
    <t>neo</t>
  </si>
  <si>
    <t>havven</t>
  </si>
  <si>
    <t>radix</t>
  </si>
  <si>
    <t>zilliqa</t>
  </si>
  <si>
    <t>basic-attention-token</t>
  </si>
  <si>
    <t>chiliz</t>
  </si>
  <si>
    <t>gatechain-token</t>
  </si>
  <si>
    <t>blockstack</t>
  </si>
  <si>
    <t>pax-gold</t>
  </si>
  <si>
    <t>bitdao</t>
  </si>
  <si>
    <t>enjincoin</t>
  </si>
  <si>
    <t>dash</t>
  </si>
  <si>
    <t>pancakeswap-token</t>
  </si>
  <si>
    <t>ETH</t>
  </si>
  <si>
    <t>USDT</t>
  </si>
  <si>
    <t>USDC</t>
  </si>
  <si>
    <t>BNB</t>
  </si>
  <si>
    <t>BUSD</t>
  </si>
  <si>
    <t>XRP</t>
  </si>
  <si>
    <t>ADA</t>
  </si>
  <si>
    <t>SOL</t>
  </si>
  <si>
    <t>DOGE</t>
  </si>
  <si>
    <t>DOT</t>
  </si>
  <si>
    <t>SHIB</t>
  </si>
  <si>
    <t>AVAX</t>
  </si>
  <si>
    <t>DAI</t>
  </si>
  <si>
    <t>MATIC</t>
  </si>
  <si>
    <t>STETH</t>
  </si>
  <si>
    <t>TRX</t>
  </si>
  <si>
    <t>WBTC</t>
  </si>
  <si>
    <t>LEO</t>
  </si>
  <si>
    <t>LTC</t>
  </si>
  <si>
    <t>FTT</t>
  </si>
  <si>
    <t>OKB</t>
  </si>
  <si>
    <t>CRO</t>
  </si>
  <si>
    <t>LINK</t>
  </si>
  <si>
    <t>ETC</t>
  </si>
  <si>
    <t>NEAR</t>
  </si>
  <si>
    <t>UNI</t>
  </si>
  <si>
    <t>XLM</t>
  </si>
  <si>
    <t>ATOM</t>
  </si>
  <si>
    <t>XMR</t>
  </si>
  <si>
    <t>ALGO</t>
  </si>
  <si>
    <t>BCH</t>
  </si>
  <si>
    <t>FLOW</t>
  </si>
  <si>
    <t>VET</t>
  </si>
  <si>
    <t>XCN</t>
  </si>
  <si>
    <t>APE</t>
  </si>
  <si>
    <t>ICP</t>
  </si>
  <si>
    <t>MANA</t>
  </si>
  <si>
    <t>SAND</t>
  </si>
  <si>
    <t>HBAR</t>
  </si>
  <si>
    <t>XTZ</t>
  </si>
  <si>
    <t>FRAX</t>
  </si>
  <si>
    <t>QNT</t>
  </si>
  <si>
    <t>FIL</t>
  </si>
  <si>
    <t>AXS</t>
  </si>
  <si>
    <t>EGLD</t>
  </si>
  <si>
    <t>AAVE</t>
  </si>
  <si>
    <t>THETA</t>
  </si>
  <si>
    <t>TUSD</t>
  </si>
  <si>
    <t>HNT</t>
  </si>
  <si>
    <t>BSV</t>
  </si>
  <si>
    <t>EOS</t>
  </si>
  <si>
    <t>KCS</t>
  </si>
  <si>
    <t>CUSDC</t>
  </si>
  <si>
    <t>MKR</t>
  </si>
  <si>
    <t>BTT</t>
  </si>
  <si>
    <t>CETH</t>
  </si>
  <si>
    <t>MIOTA</t>
  </si>
  <si>
    <t>USDP</t>
  </si>
  <si>
    <t>FTM</t>
  </si>
  <si>
    <t>GRT</t>
  </si>
  <si>
    <t>XEC</t>
  </si>
  <si>
    <t>ZEC</t>
  </si>
  <si>
    <t>RUNE</t>
  </si>
  <si>
    <t>LDO</t>
  </si>
  <si>
    <t>KLAY</t>
  </si>
  <si>
    <t>HT</t>
  </si>
  <si>
    <t>CDAI</t>
  </si>
  <si>
    <t>AR</t>
  </si>
  <si>
    <t>USDD</t>
  </si>
  <si>
    <t>NEO</t>
  </si>
  <si>
    <t>SNX</t>
  </si>
  <si>
    <t>XRD</t>
  </si>
  <si>
    <t>ZIL</t>
  </si>
  <si>
    <t>BAT</t>
  </si>
  <si>
    <t>CHZ</t>
  </si>
  <si>
    <t>GT</t>
  </si>
  <si>
    <t>STX</t>
  </si>
  <si>
    <t>PAXG</t>
  </si>
  <si>
    <t>BIT</t>
  </si>
  <si>
    <t>ENJ</t>
  </si>
  <si>
    <t>DASH</t>
  </si>
  <si>
    <t>CAKE</t>
  </si>
  <si>
    <t>NET WORTH</t>
  </si>
  <si>
    <t>Cash on Hand add Investments</t>
  </si>
  <si>
    <t>EQUITIES $ VALUE</t>
  </si>
  <si>
    <t>CRYPTO $ VALUE</t>
  </si>
  <si>
    <t>Stocks</t>
  </si>
  <si>
    <t>Cryptocurrency</t>
  </si>
  <si>
    <t>24 HR $ CHANGE</t>
  </si>
  <si>
    <t>24 HR % CHANGE</t>
  </si>
  <si>
    <t>POSITION $ CHANGE</t>
  </si>
  <si>
    <t>OPEN</t>
  </si>
  <si>
    <t>SPOT</t>
  </si>
  <si>
    <t>IIAXX</t>
  </si>
  <si>
    <t>Costco</t>
  </si>
  <si>
    <t>Grocery</t>
  </si>
  <si>
    <t>Zelle</t>
  </si>
  <si>
    <t>BankAmeriDeals</t>
  </si>
  <si>
    <t>:J41</t>
  </si>
  <si>
    <t>Rewards</t>
  </si>
  <si>
    <t>Withdrawal</t>
  </si>
  <si>
    <t>Purpose</t>
  </si>
  <si>
    <t>Venmo</t>
  </si>
  <si>
    <t>Interest</t>
  </si>
  <si>
    <t>NEXO</t>
  </si>
  <si>
    <t>nexo</t>
  </si>
  <si>
    <t>EVMOS</t>
  </si>
  <si>
    <t>evmos</t>
  </si>
  <si>
    <t>OSMO</t>
  </si>
  <si>
    <t>osmosis</t>
  </si>
  <si>
    <t>Dad</t>
  </si>
  <si>
    <t>Mom</t>
  </si>
  <si>
    <t>TKX</t>
  </si>
  <si>
    <t>tokenize-xchange</t>
  </si>
  <si>
    <t>Cash</t>
  </si>
  <si>
    <t>LUNC</t>
  </si>
  <si>
    <t>terra-luna</t>
  </si>
  <si>
    <t>RPL</t>
  </si>
  <si>
    <t>rocket-pool</t>
  </si>
  <si>
    <t>XAUT</t>
  </si>
  <si>
    <t>tether-gold</t>
  </si>
  <si>
    <t>KAVA</t>
  </si>
  <si>
    <t>kava</t>
  </si>
  <si>
    <t>XDC</t>
  </si>
  <si>
    <t>xdce-crowd-sale</t>
  </si>
  <si>
    <t>ENS</t>
  </si>
  <si>
    <t>ethereum-name-service</t>
  </si>
  <si>
    <t>ETHW</t>
  </si>
  <si>
    <t>ethereum-pow-iou</t>
  </si>
  <si>
    <t>TWT</t>
  </si>
  <si>
    <t>trust-wallet-token</t>
  </si>
  <si>
    <t>WBT</t>
  </si>
  <si>
    <t>whitebit</t>
  </si>
  <si>
    <t>APT</t>
  </si>
  <si>
    <t>aptos</t>
  </si>
  <si>
    <t>CRV</t>
  </si>
  <si>
    <t>curve-dao-token</t>
  </si>
  <si>
    <t>CSPR</t>
  </si>
  <si>
    <t>casper-network</t>
  </si>
  <si>
    <t>FXS</t>
  </si>
  <si>
    <t>frax-share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</si>
</sst>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_(&quot;$&quot;* #,##0.00_);_(&quot;$&quot;* \(#,##0.00\);_(&quot;$&quot;* &quot; - &quot;??_);_(@_)"/>
    <numFmt numFmtId="165" formatCode="0.00000"/>
    <numFmt numFmtId="167" formatCode="_([$$-409]* #,##0.00_);_([$$-409]* \(#,##0.00\);_([$$-409]* &quot;-&quot;??_);_(@_)"/>
  </numFmts>
  <fonts count="10"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9"/>
      <color theme="1"/>
      <name val="Calibri"/>
      <family val="2"/>
      <scheme val="minor"/>
    </font>
    <font>
      <sz val="8"/>
      <name val="Calibri"/>
      <family val="2"/>
      <scheme val="minor"/>
    </font>
    <font>
      <i/>
      <sz val="11"/>
      <name val="Calibri"/>
      <family val="2"/>
      <scheme val="minor"/>
    </font>
  </fonts>
  <fills count="12">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9BC2E6"/>
        <bgColor indexed="64"/>
      </patternFill>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E7E6E6"/>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499984740745262"/>
        <bgColor indexed="64"/>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122">
    <xf numFmtId="0" fontId="0" fillId="0" borderId="0" xfId="0"/>
    <xf numFmtId="0" fontId="4" fillId="4" borderId="1" xfId="0" applyFont="1" applyFill="1" applyBorder="1"/>
    <xf numFmtId="0" fontId="4" fillId="4" borderId="2" xfId="0" applyFont="1" applyFill="1" applyBorder="1"/>
    <xf numFmtId="0" fontId="4" fillId="4" borderId="3" xfId="0" applyFont="1" applyFill="1" applyBorder="1"/>
    <xf numFmtId="0" fontId="0" fillId="3" borderId="0" xfId="0" applyFill="1"/>
    <xf numFmtId="0" fontId="0" fillId="3" borderId="4" xfId="0" applyFill="1" applyBorder="1"/>
    <xf numFmtId="0" fontId="0" fillId="3" borderId="5" xfId="0" applyFill="1" applyBorder="1"/>
    <xf numFmtId="0" fontId="0" fillId="5" borderId="0" xfId="0" applyFill="1"/>
    <xf numFmtId="0" fontId="0" fillId="6" borderId="0" xfId="0" applyFill="1"/>
    <xf numFmtId="0" fontId="0" fillId="6" borderId="4" xfId="0" applyFill="1" applyBorder="1"/>
    <xf numFmtId="44" fontId="0" fillId="7" borderId="17" xfId="1" applyFont="1" applyFill="1" applyBorder="1"/>
    <xf numFmtId="44" fontId="5" fillId="7" borderId="14" xfId="1" applyFont="1" applyFill="1" applyBorder="1"/>
    <xf numFmtId="0" fontId="2" fillId="2" borderId="12" xfId="0" applyFont="1" applyFill="1" applyBorder="1" applyAlignment="1">
      <alignment horizontal="center"/>
    </xf>
    <xf numFmtId="19" fontId="0" fillId="7" borderId="13" xfId="0" applyNumberFormat="1" applyFill="1" applyBorder="1"/>
    <xf numFmtId="0" fontId="0" fillId="7" borderId="3" xfId="0" applyFill="1" applyBorder="1"/>
    <xf numFmtId="0" fontId="0" fillId="7" borderId="13" xfId="0" applyFill="1" applyBorder="1"/>
    <xf numFmtId="0" fontId="0" fillId="7" borderId="15" xfId="0" applyFill="1" applyBorder="1"/>
    <xf numFmtId="0" fontId="0" fillId="7" borderId="16" xfId="0" applyFill="1" applyBorder="1"/>
    <xf numFmtId="0" fontId="0" fillId="8" borderId="2" xfId="0" applyFill="1" applyBorder="1"/>
    <xf numFmtId="0" fontId="0" fillId="8" borderId="3" xfId="0" applyFill="1" applyBorder="1"/>
    <xf numFmtId="14" fontId="0" fillId="8" borderId="1" xfId="0" applyNumberFormat="1" applyFill="1" applyBorder="1"/>
    <xf numFmtId="164" fontId="0" fillId="8" borderId="2" xfId="0" applyNumberFormat="1" applyFill="1" applyBorder="1"/>
    <xf numFmtId="164" fontId="0" fillId="8" borderId="3" xfId="0" applyNumberFormat="1" applyFill="1" applyBorder="1"/>
    <xf numFmtId="0" fontId="6" fillId="6" borderId="0" xfId="0" applyFont="1" applyFill="1"/>
    <xf numFmtId="0" fontId="7" fillId="6" borderId="0" xfId="0" applyFont="1" applyFill="1"/>
    <xf numFmtId="0" fontId="5" fillId="9" borderId="6" xfId="0" applyFont="1" applyFill="1" applyBorder="1"/>
    <xf numFmtId="0" fontId="5" fillId="9" borderId="7" xfId="0" applyFont="1" applyFill="1" applyBorder="1"/>
    <xf numFmtId="0" fontId="5" fillId="9" borderId="4" xfId="0" applyFont="1" applyFill="1" applyBorder="1"/>
    <xf numFmtId="0" fontId="5" fillId="9" borderId="0" xfId="0" applyFont="1" applyFill="1"/>
    <xf numFmtId="0" fontId="5" fillId="9" borderId="8" xfId="0" applyFont="1" applyFill="1" applyBorder="1"/>
    <xf numFmtId="0" fontId="5" fillId="9" borderId="9" xfId="0" applyFont="1" applyFill="1" applyBorder="1"/>
    <xf numFmtId="0" fontId="0" fillId="10" borderId="6" xfId="0" applyFill="1" applyBorder="1"/>
    <xf numFmtId="0" fontId="0" fillId="10" borderId="7" xfId="0" applyFill="1" applyBorder="1"/>
    <xf numFmtId="0" fontId="0" fillId="11" borderId="0" xfId="0" applyFill="1"/>
    <xf numFmtId="0" fontId="0" fillId="11" borderId="4" xfId="0" applyFill="1" applyBorder="1"/>
    <xf numFmtId="0" fontId="0" fillId="9" borderId="4" xfId="0" applyFill="1" applyBorder="1"/>
    <xf numFmtId="0" fontId="0" fillId="9" borderId="0" xfId="0" applyFill="1"/>
    <xf numFmtId="0" fontId="0" fillId="9" borderId="6" xfId="0" applyFill="1" applyBorder="1"/>
    <xf numFmtId="0" fontId="0" fillId="9" borderId="7" xfId="0" applyFill="1" applyBorder="1"/>
    <xf numFmtId="0" fontId="0" fillId="9" borderId="8" xfId="0" applyFill="1" applyBorder="1"/>
    <xf numFmtId="0" fontId="0" fillId="9" borderId="9" xfId="0" applyFill="1" applyBorder="1"/>
    <xf numFmtId="44" fontId="5" fillId="7" borderId="18" xfId="1" applyFont="1" applyFill="1" applyBorder="1" applyAlignment="1">
      <alignment horizontal="center"/>
    </xf>
    <xf numFmtId="165" fontId="5" fillId="7" borderId="14" xfId="1" applyNumberFormat="1" applyFont="1" applyFill="1" applyBorder="1" applyAlignment="1">
      <alignment horizontal="center"/>
    </xf>
    <xf numFmtId="44" fontId="0" fillId="7" borderId="2" xfId="1" applyFont="1" applyFill="1" applyBorder="1" applyAlignment="1">
      <alignment horizontal="center"/>
    </xf>
    <xf numFmtId="165" fontId="0" fillId="7" borderId="22" xfId="1" applyNumberFormat="1" applyFont="1" applyFill="1" applyBorder="1" applyAlignment="1">
      <alignment horizontal="center"/>
    </xf>
    <xf numFmtId="44" fontId="0" fillId="7" borderId="2" xfId="1" applyFont="1" applyFill="1" applyBorder="1"/>
    <xf numFmtId="10" fontId="5" fillId="7" borderId="14" xfId="2" applyNumberFormat="1" applyFont="1" applyFill="1" applyBorder="1"/>
    <xf numFmtId="44" fontId="0" fillId="7" borderId="5" xfId="1" applyFont="1" applyFill="1" applyBorder="1" applyAlignment="1">
      <alignment horizontal="center"/>
    </xf>
    <xf numFmtId="165" fontId="0" fillId="7" borderId="24" xfId="1" applyNumberFormat="1" applyFont="1" applyFill="1" applyBorder="1" applyAlignment="1">
      <alignment horizontal="center"/>
    </xf>
    <xf numFmtId="44" fontId="0" fillId="7" borderId="24" xfId="1" applyFont="1" applyFill="1" applyBorder="1"/>
    <xf numFmtId="44" fontId="5" fillId="7" borderId="25" xfId="1" applyFont="1" applyFill="1" applyBorder="1"/>
    <xf numFmtId="10" fontId="5" fillId="7" borderId="25" xfId="2" applyNumberFormat="1" applyFont="1" applyFill="1" applyBorder="1"/>
    <xf numFmtId="44" fontId="2" fillId="5" borderId="23" xfId="0" applyNumberFormat="1" applyFont="1" applyFill="1" applyBorder="1"/>
    <xf numFmtId="10" fontId="2" fillId="5" borderId="23" xfId="2" applyNumberFormat="1" applyFont="1" applyFill="1" applyBorder="1"/>
    <xf numFmtId="9" fontId="2" fillId="5" borderId="23" xfId="2" applyFont="1" applyFill="1" applyBorder="1"/>
    <xf numFmtId="44" fontId="5" fillId="6" borderId="0" xfId="1" applyFont="1" applyFill="1" applyBorder="1" applyAlignment="1">
      <alignment horizontal="center"/>
    </xf>
    <xf numFmtId="0" fontId="4" fillId="6" borderId="0" xfId="0" applyFont="1" applyFill="1"/>
    <xf numFmtId="44" fontId="0" fillId="6" borderId="0" xfId="1" applyFont="1" applyFill="1" applyBorder="1"/>
    <xf numFmtId="0" fontId="4" fillId="9" borderId="0" xfId="0" applyFont="1" applyFill="1"/>
    <xf numFmtId="44" fontId="0" fillId="9" borderId="0" xfId="1" applyFont="1" applyFill="1" applyBorder="1"/>
    <xf numFmtId="0" fontId="4" fillId="9" borderId="9" xfId="0" applyFont="1" applyFill="1" applyBorder="1"/>
    <xf numFmtId="44" fontId="0" fillId="9" borderId="9" xfId="1" applyFont="1" applyFill="1" applyBorder="1"/>
    <xf numFmtId="44" fontId="5" fillId="7" borderId="14" xfId="1" applyFont="1" applyFill="1" applyBorder="1" applyAlignment="1"/>
    <xf numFmtId="0" fontId="9" fillId="6" borderId="0" xfId="0" applyFont="1" applyFill="1" applyAlignment="1">
      <alignment horizontal="left"/>
    </xf>
    <xf numFmtId="10" fontId="6" fillId="6" borderId="23" xfId="2" applyNumberFormat="1" applyFont="1" applyFill="1" applyBorder="1"/>
    <xf numFmtId="44" fontId="5" fillId="7" borderId="14" xfId="1" applyFont="1" applyFill="1" applyBorder="1" applyAlignment="1">
      <alignment horizontal="center"/>
    </xf>
    <xf numFmtId="44" fontId="6" fillId="6" borderId="23" xfId="2" applyNumberFormat="1" applyFont="1" applyFill="1" applyBorder="1"/>
    <xf numFmtId="44" fontId="0" fillId="7" borderId="22" xfId="1" applyFont="1" applyFill="1" applyBorder="1" applyAlignment="1">
      <alignment horizontal="center"/>
    </xf>
    <xf numFmtId="44" fontId="0" fillId="7" borderId="32" xfId="1" applyFont="1" applyFill="1" applyBorder="1"/>
    <xf numFmtId="167" fontId="0" fillId="6" borderId="0" xfId="0" applyNumberFormat="1" applyFill="1"/>
    <xf numFmtId="44" fontId="0" fillId="11" borderId="0" xfId="1" applyFont="1" applyFill="1"/>
    <xf numFmtId="44" fontId="5" fillId="7" borderId="13" xfId="1" applyFont="1" applyFill="1" applyBorder="1" applyAlignment="1">
      <alignment horizontal="center"/>
    </xf>
    <xf numFmtId="44" fontId="5" fillId="7" borderId="18" xfId="1" applyFont="1" applyFill="1" applyBorder="1" applyAlignment="1">
      <alignment horizontal="center"/>
    </xf>
    <xf numFmtId="10" fontId="5" fillId="7" borderId="13" xfId="2" applyNumberFormat="1" applyFont="1" applyFill="1" applyBorder="1"/>
    <xf numFmtId="10" fontId="5" fillId="7" borderId="18" xfId="2" applyNumberFormat="1" applyFont="1" applyFill="1" applyBorder="1"/>
    <xf numFmtId="44" fontId="5" fillId="7" borderId="13" xfId="1" applyFont="1" applyFill="1" applyBorder="1"/>
    <xf numFmtId="44" fontId="5" fillId="7" borderId="18" xfId="1" applyFont="1" applyFill="1" applyBorder="1"/>
    <xf numFmtId="0" fontId="0" fillId="7" borderId="28" xfId="0" applyFill="1" applyBorder="1" applyAlignment="1">
      <alignment horizontal="center"/>
    </xf>
    <xf numFmtId="0" fontId="0" fillId="7" borderId="17" xfId="0" applyFill="1" applyBorder="1" applyAlignment="1">
      <alignment horizontal="center"/>
    </xf>
    <xf numFmtId="0" fontId="0" fillId="5" borderId="26" xfId="0" applyFill="1" applyBorder="1" applyAlignment="1">
      <alignment horizontal="center"/>
    </xf>
    <xf numFmtId="0" fontId="0" fillId="5" borderId="27" xfId="0" applyFill="1" applyBorder="1" applyAlignment="1">
      <alignment horizontal="center"/>
    </xf>
    <xf numFmtId="0" fontId="2" fillId="2" borderId="10" xfId="0" applyFont="1" applyFill="1" applyBorder="1" applyAlignment="1">
      <alignment horizontal="center"/>
    </xf>
    <xf numFmtId="0" fontId="2" fillId="2" borderId="12" xfId="0" applyFont="1" applyFill="1" applyBorder="1" applyAlignment="1">
      <alignment horizontal="center"/>
    </xf>
    <xf numFmtId="44" fontId="0" fillId="7" borderId="28" xfId="1" applyFont="1" applyFill="1" applyBorder="1" applyAlignment="1">
      <alignment horizontal="center"/>
    </xf>
    <xf numFmtId="44" fontId="0" fillId="7" borderId="17" xfId="1" applyFont="1" applyFill="1" applyBorder="1" applyAlignment="1">
      <alignment horizontal="center"/>
    </xf>
    <xf numFmtId="0" fontId="2" fillId="2" borderId="11" xfId="0" applyFont="1" applyFill="1" applyBorder="1" applyAlignment="1">
      <alignment horizontal="center"/>
    </xf>
    <xf numFmtId="19" fontId="0" fillId="7" borderId="13" xfId="0" applyNumberFormat="1" applyFill="1" applyBorder="1"/>
    <xf numFmtId="0" fontId="0" fillId="7" borderId="3" xfId="0" applyFill="1" applyBorder="1"/>
    <xf numFmtId="0" fontId="0" fillId="7" borderId="13" xfId="0" applyFill="1" applyBorder="1"/>
    <xf numFmtId="0" fontId="0" fillId="7" borderId="15" xfId="0" applyFill="1" applyBorder="1"/>
    <xf numFmtId="0" fontId="0" fillId="7" borderId="16" xfId="0" applyFill="1" applyBorder="1"/>
    <xf numFmtId="0" fontId="2" fillId="5" borderId="26" xfId="0" applyFont="1" applyFill="1" applyBorder="1" applyAlignment="1">
      <alignment horizontal="center"/>
    </xf>
    <xf numFmtId="0" fontId="3" fillId="5" borderId="27" xfId="0" applyFont="1" applyFill="1" applyBorder="1" applyAlignment="1">
      <alignment horizontal="center"/>
    </xf>
    <xf numFmtId="19" fontId="0" fillId="7" borderId="21" xfId="0" applyNumberFormat="1" applyFill="1" applyBorder="1" applyAlignment="1">
      <alignment horizontal="center"/>
    </xf>
    <xf numFmtId="0" fontId="0" fillId="7" borderId="14" xfId="0" applyFill="1" applyBorder="1" applyAlignment="1">
      <alignment horizontal="center"/>
    </xf>
    <xf numFmtId="0" fontId="0" fillId="7" borderId="13" xfId="0" applyFill="1" applyBorder="1" applyAlignment="1">
      <alignment horizontal="center"/>
    </xf>
    <xf numFmtId="0" fontId="0" fillId="7" borderId="18" xfId="0" applyFill="1" applyBorder="1" applyAlignment="1">
      <alignment horizontal="center"/>
    </xf>
    <xf numFmtId="0" fontId="0" fillId="7" borderId="21" xfId="0"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19" fontId="0" fillId="7" borderId="13" xfId="0" applyNumberFormat="1" applyFill="1" applyBorder="1" applyAlignment="1">
      <alignment horizontal="center"/>
    </xf>
    <xf numFmtId="19" fontId="0" fillId="7" borderId="18" xfId="0" applyNumberFormat="1" applyFill="1" applyBorder="1" applyAlignment="1">
      <alignment horizontal="center"/>
    </xf>
    <xf numFmtId="0" fontId="6" fillId="6" borderId="7" xfId="0" applyFont="1" applyFill="1" applyBorder="1" applyAlignment="1">
      <alignment horizontal="center" wrapText="1"/>
    </xf>
    <xf numFmtId="0" fontId="6" fillId="6" borderId="9" xfId="0" applyFont="1" applyFill="1" applyBorder="1" applyAlignment="1">
      <alignment horizontal="center" wrapText="1"/>
    </xf>
    <xf numFmtId="44" fontId="0" fillId="7" borderId="15" xfId="1" applyFont="1" applyFill="1" applyBorder="1" applyAlignment="1">
      <alignment horizontal="center"/>
    </xf>
    <xf numFmtId="44" fontId="0" fillId="7" borderId="29" xfId="1" applyFont="1" applyFill="1" applyBorder="1" applyAlignment="1">
      <alignment horizontal="center"/>
    </xf>
    <xf numFmtId="0" fontId="0" fillId="7" borderId="15" xfId="0" applyFill="1" applyBorder="1" applyAlignment="1">
      <alignment horizontal="center"/>
    </xf>
    <xf numFmtId="0" fontId="0" fillId="7" borderId="29" xfId="0" applyFill="1" applyBorder="1" applyAlignment="1">
      <alignment horizontal="center"/>
    </xf>
    <xf numFmtId="44" fontId="0" fillId="5" borderId="26" xfId="1" applyFont="1" applyFill="1" applyBorder="1" applyAlignment="1">
      <alignment horizontal="center"/>
    </xf>
    <xf numFmtId="44" fontId="0" fillId="5" borderId="27" xfId="1" applyFont="1" applyFill="1" applyBorder="1" applyAlignment="1">
      <alignment horizontal="center"/>
    </xf>
    <xf numFmtId="44" fontId="5" fillId="7" borderId="15" xfId="1" applyFont="1" applyFill="1" applyBorder="1" applyAlignment="1">
      <alignment horizontal="center"/>
    </xf>
    <xf numFmtId="44" fontId="5" fillId="7" borderId="29" xfId="1" applyFont="1" applyFill="1" applyBorder="1" applyAlignment="1">
      <alignment horizontal="center"/>
    </xf>
    <xf numFmtId="44" fontId="2" fillId="5" borderId="30" xfId="1" applyFont="1" applyFill="1" applyBorder="1"/>
    <xf numFmtId="44" fontId="2" fillId="5" borderId="31" xfId="1" applyFont="1" applyFill="1" applyBorder="1"/>
    <xf numFmtId="10" fontId="2" fillId="5" borderId="30" xfId="2" applyNumberFormat="1" applyFont="1" applyFill="1" applyBorder="1"/>
    <xf numFmtId="10" fontId="2" fillId="5" borderId="31" xfId="2" applyNumberFormat="1" applyFont="1" applyFill="1" applyBorder="1"/>
    <xf numFmtId="10" fontId="0" fillId="7" borderId="13" xfId="2" applyNumberFormat="1" applyFont="1" applyFill="1" applyBorder="1"/>
    <xf numFmtId="10" fontId="0" fillId="7" borderId="18" xfId="2" applyNumberFormat="1" applyFont="1" applyFill="1" applyBorder="1"/>
    <xf numFmtId="10" fontId="0" fillId="7" borderId="15" xfId="2" applyNumberFormat="1" applyFont="1" applyFill="1" applyBorder="1"/>
    <xf numFmtId="10" fontId="0" fillId="7" borderId="29" xfId="2" applyNumberFormat="1" applyFont="1" applyFill="1" applyBorder="1"/>
    <xf numFmtId="44" fontId="5" fillId="7" borderId="15" xfId="1" applyFont="1" applyFill="1" applyBorder="1"/>
    <xf numFmtId="44" fontId="5" fillId="7" borderId="29" xfId="1" applyFont="1" applyFill="1" applyBorder="1"/>
  </cellXfs>
  <cellStyles count="3">
    <cellStyle name="Currency" xfId="1" builtinId="4"/>
    <cellStyle name="Normal" xfId="0" builtinId="0"/>
    <cellStyle name="Percent" xfId="2" builtinId="5"/>
  </cellStyles>
  <dxfs count="30">
    <dxf>
      <numFmt numFmtId="0" formatCode="Genera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9BC2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connections" Target="connections.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theme" Target="theme/theme1.xml"/><Relationship Id="rId9" Type="http://schemas.microsoft.com/office/2017/06/relationships/rdRichValue" Target="richData/rdrichvalue.xml"/><Relationship Id="rId14"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2"/>
          <c:order val="2"/>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2E2-480B-986F-DA8A94DFF8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2E2-480B-986F-DA8A94DFF8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2E2-480B-986F-DA8A94DFF8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2E2-480B-986F-DA8A94DFF8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2E2-480B-986F-DA8A94DFF8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2E2-480B-986F-DA8A94DFF80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2E2-480B-986F-DA8A94DFF800}"/>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Dashboard!$B$31:$D$37</c15:sqref>
                  </c15:fullRef>
                  <c15:levelRef>
                    <c15:sqref>Dashboard!$B$31:$B$37</c15:sqref>
                  </c15:levelRef>
                </c:ext>
              </c:extLst>
              <c:f>Dashboard!$B$31:$B$37</c:f>
              <c:strCache>
                <c:ptCount val="7"/>
                <c:pt idx="0">
                  <c:v>BTC</c:v>
                </c:pt>
                <c:pt idx="1">
                  <c:v>ETH</c:v>
                </c:pt>
                <c:pt idx="2">
                  <c:v>ADA</c:v>
                </c:pt>
                <c:pt idx="3">
                  <c:v>AMAZON.COM, INC. (XNAS:AMZN)</c:v>
                </c:pt>
                <c:pt idx="4">
                  <c:v>CISCO SYSTEMS, INC. (XNAS:CSCO)</c:v>
                </c:pt>
                <c:pt idx="5">
                  <c:v>Vanguard Lg-Tm Bd;ETF (ARCX:BLV)</c:v>
                </c:pt>
                <c:pt idx="6">
                  <c:v>IIAXX</c:v>
                </c:pt>
              </c:strCache>
            </c:strRef>
          </c:cat>
          <c:val>
            <c:numRef>
              <c:f>Dashboard!$G$31:$G$37</c:f>
              <c:numCache>
                <c:formatCode>_("$"* #,##0.00_);_("$"* \(#,##0.00\);_("$"* "-"??_);_(@_)</c:formatCode>
                <c:ptCount val="7"/>
                <c:pt idx="0">
                  <c:v>696.10778400800007</c:v>
                </c:pt>
                <c:pt idx="1">
                  <c:v>170.52774259680001</c:v>
                </c:pt>
                <c:pt idx="2">
                  <c:v>106.36154550000001</c:v>
                </c:pt>
                <c:pt idx="3">
                  <c:v>229.92</c:v>
                </c:pt>
                <c:pt idx="4">
                  <c:v>134.04</c:v>
                </c:pt>
                <c:pt idx="5">
                  <c:v>138.38310759999999</c:v>
                </c:pt>
                <c:pt idx="6">
                  <c:v>16.55</c:v>
                </c:pt>
              </c:numCache>
            </c:numRef>
          </c:val>
          <c:extLst>
            <c:ext xmlns:c16="http://schemas.microsoft.com/office/drawing/2014/chart" uri="{C3380CC4-5D6E-409C-BE32-E72D297353CC}">
              <c16:uniqueId val="{00000002-4131-4131-9ED6-E965385296C6}"/>
            </c:ext>
          </c:extLst>
        </c:ser>
        <c:dLbls>
          <c:showLegendKey val="0"/>
          <c:showVal val="0"/>
          <c:showCatName val="0"/>
          <c:showSerName val="0"/>
          <c:showPercent val="0"/>
          <c:showBubbleSize val="0"/>
          <c:showLeaderLines val="0"/>
        </c:dLbls>
        <c:firstSliceAng val="0"/>
        <c:extLst>
          <c:ext xmlns:c15="http://schemas.microsoft.com/office/drawing/2012/chart" uri="{02D57815-91ED-43cb-92C2-25804820EDAC}">
            <c15:filteredPieSeries>
              <c15: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F-52E2-480B-986F-DA8A94DFF80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1-52E2-480B-986F-DA8A94DFF80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3-52E2-480B-986F-DA8A94DFF80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5-52E2-480B-986F-DA8A94DFF80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7-52E2-480B-986F-DA8A94DFF8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9-52E2-480B-986F-DA8A94DFF80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B-52E2-480B-986F-DA8A94DFF800}"/>
                    </c:ext>
                  </c:extLst>
                </c:dPt>
                <c:dLbls>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uri="{CE6537A1-D6FC-4f65-9D91-7224C49458BB}">
                      <c15:spPr xmlns:c15="http://schemas.microsoft.com/office/drawing/2012/chart">
                        <a:prstGeom prst="wedgeRectCallout">
                          <a:avLst/>
                        </a:prstGeom>
                        <a:noFill/>
                        <a:ln>
                          <a:noFill/>
                        </a:ln>
                      </c15:spPr>
                    </c:ext>
                  </c:extLst>
                </c:dLbls>
                <c:cat>
                  <c:strRef>
                    <c:extLst>
                      <c:ext uri="{02D57815-91ED-43cb-92C2-25804820EDAC}">
                        <c15:fullRef>
                          <c15:sqref>Dashboard!$B$31:$D$37</c15:sqref>
                        </c15:fullRef>
                        <c15:levelRef>
                          <c15:sqref>Dashboard!$B$31:$B$37</c15:sqref>
                        </c15:levelRef>
                        <c15:formulaRef>
                          <c15:sqref>Dashboard!$B$31:$B$37</c15:sqref>
                        </c15:formulaRef>
                      </c:ext>
                    </c:extLst>
                    <c:strCache>
                      <c:ptCount val="7"/>
                      <c:pt idx="0">
                        <c:v>BTC</c:v>
                      </c:pt>
                      <c:pt idx="1">
                        <c:v>ETH</c:v>
                      </c:pt>
                      <c:pt idx="2">
                        <c:v>ADA</c:v>
                      </c:pt>
                      <c:pt idx="3">
                        <c:v>AMAZON.COM, INC. (XNAS:AMZN)</c:v>
                      </c:pt>
                      <c:pt idx="4">
                        <c:v>CISCO SYSTEMS, INC. (XNAS:CSCO)</c:v>
                      </c:pt>
                      <c:pt idx="5">
                        <c:v>Vanguard Lg-Tm Bd;ETF (ARCX:BLV)</c:v>
                      </c:pt>
                      <c:pt idx="6">
                        <c:v>IIAXX</c:v>
                      </c:pt>
                    </c:strCache>
                  </c:strRef>
                </c:cat>
                <c:val>
                  <c:numRef>
                    <c:extLst>
                      <c:ext uri="{02D57815-91ED-43cb-92C2-25804820EDAC}">
                        <c15:formulaRef>
                          <c15:sqref>Dashboard!$E$31:$E$37</c15:sqref>
                        </c15:formulaRef>
                      </c:ext>
                    </c:extLst>
                    <c:numCache>
                      <c:formatCode>0.00000</c:formatCode>
                      <c:ptCount val="7"/>
                      <c:pt idx="0">
                        <c:v>3.6350199999999999E-2</c:v>
                      </c:pt>
                      <c:pt idx="1">
                        <c:v>0.13243536</c:v>
                      </c:pt>
                      <c:pt idx="2">
                        <c:v>304.5</c:v>
                      </c:pt>
                      <c:pt idx="3">
                        <c:v>2</c:v>
                      </c:pt>
                      <c:pt idx="4">
                        <c:v>3</c:v>
                      </c:pt>
                      <c:pt idx="5">
                        <c:v>2.0059999999999998</c:v>
                      </c:pt>
                      <c:pt idx="6">
                        <c:v>16.55</c:v>
                      </c:pt>
                    </c:numCache>
                  </c:numRef>
                </c:val>
                <c:extLst>
                  <c:ext xmlns:c16="http://schemas.microsoft.com/office/drawing/2014/chart" uri="{C3380CC4-5D6E-409C-BE32-E72D297353CC}">
                    <c16:uniqueId val="{00000000-4131-4131-9ED6-E965385296C6}"/>
                  </c:ext>
                </c:extLst>
              </c15:ser>
            </c15:filteredPieSeries>
            <c15:filteredPieSeries>
              <c15:ser>
                <c:idx val="1"/>
                <c:order val="1"/>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D-52E2-480B-986F-DA8A94DFF800}"/>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1F-52E2-480B-986F-DA8A94DFF800}"/>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1-52E2-480B-986F-DA8A94DFF800}"/>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3-52E2-480B-986F-DA8A94DFF800}"/>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25-52E2-480B-986F-DA8A94DFF800}"/>
                    </c:ext>
                  </c:extLst>
                </c:dPt>
                <c:dPt>
                  <c:idx val="5"/>
                  <c:bubble3D val="0"/>
                  <c:spPr>
                    <a:solidFill>
                      <a:schemeClr val="accent6"/>
                    </a:solidFill>
                    <a:ln w="19050">
                      <a:solidFill>
                        <a:schemeClr val="lt1"/>
                      </a:solidFill>
                    </a:ln>
                    <a:effectLst/>
                  </c:spPr>
                  <c:extLst xmlns:c15="http://schemas.microsoft.com/office/drawing/2012/chart">
                    <c:ext xmlns:c16="http://schemas.microsoft.com/office/drawing/2014/chart" uri="{C3380CC4-5D6E-409C-BE32-E72D297353CC}">
                      <c16:uniqueId val="{00000027-52E2-480B-986F-DA8A94DFF800}"/>
                    </c:ext>
                  </c:extLst>
                </c:dPt>
                <c:dPt>
                  <c:idx val="6"/>
                  <c:bubble3D val="0"/>
                  <c:spPr>
                    <a:solidFill>
                      <a:schemeClr val="accent1">
                        <a:lumMod val="60000"/>
                      </a:schemeClr>
                    </a:solidFill>
                    <a:ln w="19050">
                      <a:solidFill>
                        <a:schemeClr val="lt1"/>
                      </a:solidFill>
                    </a:ln>
                    <a:effectLst/>
                  </c:spPr>
                  <c:extLst xmlns:c15="http://schemas.microsoft.com/office/drawing/2012/chart">
                    <c:ext xmlns:c16="http://schemas.microsoft.com/office/drawing/2014/chart" uri="{C3380CC4-5D6E-409C-BE32-E72D297353CC}">
                      <c16:uniqueId val="{00000029-52E2-480B-986F-DA8A94DFF800}"/>
                    </c:ext>
                  </c:extLst>
                </c:dPt>
                <c:dLbls>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xmlns:c15="http://schemas.microsoft.com/office/drawing/2012/char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Dashboard!$B$31:$D$37</c15:sqref>
                        </c15:fullRef>
                        <c15:levelRef>
                          <c15:sqref>Dashboard!$B$31:$B$37</c15:sqref>
                        </c15:levelRef>
                        <c15:formulaRef>
                          <c15:sqref>Dashboard!$B$31:$B$37</c15:sqref>
                        </c15:formulaRef>
                      </c:ext>
                    </c:extLst>
                    <c:strCache>
                      <c:ptCount val="7"/>
                      <c:pt idx="0">
                        <c:v>BTC</c:v>
                      </c:pt>
                      <c:pt idx="1">
                        <c:v>ETH</c:v>
                      </c:pt>
                      <c:pt idx="2">
                        <c:v>ADA</c:v>
                      </c:pt>
                      <c:pt idx="3">
                        <c:v>AMAZON.COM, INC. (XNAS:AMZN)</c:v>
                      </c:pt>
                      <c:pt idx="4">
                        <c:v>CISCO SYSTEMS, INC. (XNAS:CSCO)</c:v>
                      </c:pt>
                      <c:pt idx="5">
                        <c:v>Vanguard Lg-Tm Bd;ETF (ARCX:BLV)</c:v>
                      </c:pt>
                      <c:pt idx="6">
                        <c:v>IIAXX</c:v>
                      </c:pt>
                    </c:strCache>
                  </c:strRef>
                </c:cat>
                <c:val>
                  <c:numRef>
                    <c:extLst xmlns:c15="http://schemas.microsoft.com/office/drawing/2012/chart">
                      <c:ext xmlns:c15="http://schemas.microsoft.com/office/drawing/2012/chart" uri="{02D57815-91ED-43cb-92C2-25804820EDAC}">
                        <c15:formulaRef>
                          <c15:sqref>Dashboard!$F$31:$F$37</c15:sqref>
                        </c15:formulaRef>
                      </c:ext>
                    </c:extLst>
                    <c:numCache>
                      <c:formatCode>_("$"* #,##0.00_);_("$"* \(#,##0.00\);_("$"* "-"??_);_(@_)</c:formatCode>
                      <c:ptCount val="7"/>
                      <c:pt idx="0">
                        <c:v>780</c:v>
                      </c:pt>
                      <c:pt idx="1">
                        <c:v>200</c:v>
                      </c:pt>
                      <c:pt idx="2">
                        <c:v>150</c:v>
                      </c:pt>
                      <c:pt idx="3">
                        <c:v>219.66</c:v>
                      </c:pt>
                      <c:pt idx="4">
                        <c:v>127.37</c:v>
                      </c:pt>
                      <c:pt idx="5">
                        <c:v>158.04</c:v>
                      </c:pt>
                      <c:pt idx="6">
                        <c:v>16.55</c:v>
                      </c:pt>
                    </c:numCache>
                  </c:numRef>
                </c:val>
                <c:extLst xmlns:c15="http://schemas.microsoft.com/office/drawing/2012/chart">
                  <c:ext xmlns:c16="http://schemas.microsoft.com/office/drawing/2014/chart" uri="{C3380CC4-5D6E-409C-BE32-E72D297353CC}">
                    <c16:uniqueId val="{00000001-4131-4131-9ED6-E965385296C6}"/>
                  </c:ext>
                </c:extLst>
              </c15:ser>
            </c15:filteredPieSeries>
          </c:ext>
        </c:extLst>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661988</xdr:colOff>
      <xdr:row>0</xdr:row>
      <xdr:rowOff>157161</xdr:rowOff>
    </xdr:from>
    <xdr:to>
      <xdr:col>8</xdr:col>
      <xdr:colOff>228601</xdr:colOff>
      <xdr:row>3</xdr:row>
      <xdr:rowOff>171449</xdr:rowOff>
    </xdr:to>
    <xdr:sp macro="" textlink="">
      <xdr:nvSpPr>
        <xdr:cNvPr id="2" name="Rectangle 1">
          <a:extLst>
            <a:ext uri="{FF2B5EF4-FFF2-40B4-BE49-F238E27FC236}">
              <a16:creationId xmlns:a16="http://schemas.microsoft.com/office/drawing/2014/main" id="{3BD0B9E8-1AEC-4386-B4E8-B81C24E04624}"/>
            </a:ext>
          </a:extLst>
        </xdr:cNvPr>
        <xdr:cNvSpPr/>
      </xdr:nvSpPr>
      <xdr:spPr>
        <a:xfrm>
          <a:off x="4548188" y="157161"/>
          <a:ext cx="3452813" cy="55721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a:t>  Financial</a:t>
          </a:r>
          <a:r>
            <a:rPr lang="en-US" sz="2800" baseline="0"/>
            <a:t> Dashboard</a:t>
          </a:r>
          <a:endParaRPr lang="en-US" sz="2800"/>
        </a:p>
      </xdr:txBody>
    </xdr:sp>
    <xdr:clientData/>
  </xdr:twoCellAnchor>
  <xdr:twoCellAnchor>
    <xdr:from>
      <xdr:col>4</xdr:col>
      <xdr:colOff>776288</xdr:colOff>
      <xdr:row>24</xdr:row>
      <xdr:rowOff>128588</xdr:rowOff>
    </xdr:from>
    <xdr:to>
      <xdr:col>8</xdr:col>
      <xdr:colOff>66676</xdr:colOff>
      <xdr:row>27</xdr:row>
      <xdr:rowOff>47625</xdr:rowOff>
    </xdr:to>
    <xdr:sp macro="" textlink="">
      <xdr:nvSpPr>
        <xdr:cNvPr id="3" name="Rectangle 2">
          <a:extLst>
            <a:ext uri="{FF2B5EF4-FFF2-40B4-BE49-F238E27FC236}">
              <a16:creationId xmlns:a16="http://schemas.microsoft.com/office/drawing/2014/main" id="{DADB81FD-7CE6-47ED-840B-92DFA59D59AD}"/>
            </a:ext>
          </a:extLst>
        </xdr:cNvPr>
        <xdr:cNvSpPr/>
      </xdr:nvSpPr>
      <xdr:spPr>
        <a:xfrm>
          <a:off x="4662488" y="4514851"/>
          <a:ext cx="3176588" cy="46196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Investments</a:t>
          </a:r>
        </a:p>
      </xdr:txBody>
    </xdr:sp>
    <xdr:clientData/>
  </xdr:twoCellAnchor>
  <xdr:twoCellAnchor>
    <xdr:from>
      <xdr:col>3</xdr:col>
      <xdr:colOff>333375</xdr:colOff>
      <xdr:row>25</xdr:row>
      <xdr:rowOff>38099</xdr:rowOff>
    </xdr:from>
    <xdr:to>
      <xdr:col>4</xdr:col>
      <xdr:colOff>233362</xdr:colOff>
      <xdr:row>26</xdr:row>
      <xdr:rowOff>150812</xdr:rowOff>
    </xdr:to>
    <xdr:sp macro="[0]!RefreshPrices" textlink="">
      <xdr:nvSpPr>
        <xdr:cNvPr id="4" name="Rectangle: Beveled 3">
          <a:extLst>
            <a:ext uri="{FF2B5EF4-FFF2-40B4-BE49-F238E27FC236}">
              <a16:creationId xmlns:a16="http://schemas.microsoft.com/office/drawing/2014/main" id="{FE3FF7AF-08BB-4D31-9517-525B1EA3599B}"/>
            </a:ext>
          </a:extLst>
        </xdr:cNvPr>
        <xdr:cNvSpPr/>
      </xdr:nvSpPr>
      <xdr:spPr>
        <a:xfrm>
          <a:off x="3248025" y="4605337"/>
          <a:ext cx="871537" cy="29368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Refresh</a:t>
          </a:r>
        </a:p>
      </xdr:txBody>
    </xdr:sp>
    <xdr:clientData/>
  </xdr:twoCellAnchor>
  <xdr:twoCellAnchor>
    <xdr:from>
      <xdr:col>12</xdr:col>
      <xdr:colOff>292893</xdr:colOff>
      <xdr:row>28</xdr:row>
      <xdr:rowOff>164306</xdr:rowOff>
    </xdr:from>
    <xdr:to>
      <xdr:col>17</xdr:col>
      <xdr:colOff>7143</xdr:colOff>
      <xdr:row>43</xdr:row>
      <xdr:rowOff>173831</xdr:rowOff>
    </xdr:to>
    <xdr:graphicFrame macro="">
      <xdr:nvGraphicFramePr>
        <xdr:cNvPr id="6" name="Chart 5">
          <a:extLst>
            <a:ext uri="{FF2B5EF4-FFF2-40B4-BE49-F238E27FC236}">
              <a16:creationId xmlns:a16="http://schemas.microsoft.com/office/drawing/2014/main" id="{CEC62671-CB8F-B274-B10B-72402EF5E1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648756</xdr:colOff>
      <xdr:row>1</xdr:row>
      <xdr:rowOff>66144</xdr:rowOff>
    </xdr:from>
    <xdr:to>
      <xdr:col>5</xdr:col>
      <xdr:colOff>1520293</xdr:colOff>
      <xdr:row>2</xdr:row>
      <xdr:rowOff>178857</xdr:rowOff>
    </xdr:to>
    <xdr:sp macro="[0]!LogEvent" textlink="">
      <xdr:nvSpPr>
        <xdr:cNvPr id="2" name="Rectangle: Beveled 1">
          <a:extLst>
            <a:ext uri="{FF2B5EF4-FFF2-40B4-BE49-F238E27FC236}">
              <a16:creationId xmlns:a16="http://schemas.microsoft.com/office/drawing/2014/main" id="{8BDABE9F-1313-8C3A-B152-C1750D1C8708}"/>
            </a:ext>
          </a:extLst>
        </xdr:cNvPr>
        <xdr:cNvSpPr/>
      </xdr:nvSpPr>
      <xdr:spPr>
        <a:xfrm>
          <a:off x="8194673" y="246061"/>
          <a:ext cx="871537" cy="292629"/>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Log</a:t>
          </a:r>
          <a:r>
            <a:rPr lang="en-US" sz="1100" baseline="0"/>
            <a:t> Event</a:t>
          </a:r>
          <a:endParaRPr lang="en-US" sz="1100"/>
        </a:p>
      </xdr:txBody>
    </xdr:sp>
    <xdr:clientData/>
  </xdr:twoCellAnchor>
  <xdr:twoCellAnchor>
    <xdr:from>
      <xdr:col>1</xdr:col>
      <xdr:colOff>8562</xdr:colOff>
      <xdr:row>0</xdr:row>
      <xdr:rowOff>94577</xdr:rowOff>
    </xdr:from>
    <xdr:to>
      <xdr:col>2</xdr:col>
      <xdr:colOff>1619251</xdr:colOff>
      <xdr:row>3</xdr:row>
      <xdr:rowOff>106942</xdr:rowOff>
    </xdr:to>
    <xdr:sp macro="" textlink="">
      <xdr:nvSpPr>
        <xdr:cNvPr id="3" name="Rectangle 2">
          <a:extLst>
            <a:ext uri="{FF2B5EF4-FFF2-40B4-BE49-F238E27FC236}">
              <a16:creationId xmlns:a16="http://schemas.microsoft.com/office/drawing/2014/main" id="{A586A2AF-936B-8E92-0DE6-9EBA494A0A2C}"/>
            </a:ext>
          </a:extLst>
        </xdr:cNvPr>
        <xdr:cNvSpPr/>
      </xdr:nvSpPr>
      <xdr:spPr>
        <a:xfrm>
          <a:off x="230812" y="94577"/>
          <a:ext cx="3441606" cy="5521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a:t>Financial</a:t>
          </a:r>
          <a:r>
            <a:rPr lang="en-US" sz="2800" baseline="0"/>
            <a:t> Event Logger</a:t>
          </a:r>
          <a:endParaRPr lang="en-US" sz="28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7AF051D3-014D-4BE0-A362-93693A4E2523}" autoFormatId="16" applyNumberFormats="0" applyBorderFormats="0" applyFontFormats="0" applyPatternFormats="0" applyAlignmentFormats="0" applyWidthHeightFormats="0">
  <queryTableRefresh nextId="9">
    <queryTableFields count="7">
      <queryTableField id="2" name="ticker" tableColumnId="2"/>
      <queryTableField id="1" name="coin" tableColumnId="8"/>
      <queryTableField id="3" name="price" tableColumnId="3"/>
      <queryTableField id="4" name="mcap" tableColumnId="4"/>
      <queryTableField id="5" name="mcap rank" tableColumnId="5"/>
      <queryTableField id="6" name="volume" tableColumnId="6"/>
      <queryTableField id="7" name="24 hr change"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https://www.bing.com/financeapi/forcetrigger?t=a1nhlh&amp;q=XNAS%3aAMZN&amp;form=skydnc</v>
    <v>Learn more on Bing</v>
  </rv>
  <rv s="1">
    <v>0</v>
    <v>AMAZON.COM, INC. (XNAS:AMZN)</v>
    <v>2</v>
    <v>3</v>
    <v>Finance</v>
    <v>4</v>
    <v>en-US</v>
    <v>a1nhlh</v>
    <v>268435456</v>
    <v>1</v>
    <v>Powered by Refinitiv</v>
    <v>188.10730000000001</v>
    <v>101.26</v>
    <v>1.3048999999999999</v>
    <v>-5.64</v>
    <v>-4.6765999999999995E-2</v>
    <v>USD</v>
    <v>Amazon.com, Inc. provides a range of products and services to customers. The products offered through its stores include merchandise and content that it purchased for resale and products offered by third-party sellers. It also manufactures and sells electronic devices, including Kindle, Fire tablet, Fire TV, Echo, and Ring, and it develops and produces media content. It operates through three segments: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It serves consumers through its online and physical stores. Customers access its offerings through websites, mobile applications, Alexa, devices, streaming, and physically visiting its stores.</v>
    <v>1608000</v>
    <v>Nasdaq Stock Market</v>
    <v>XNAS</v>
    <v>XNAS</v>
    <v>410 Terry Ave N, SEATTLE, WA, 98109 US</v>
    <v>116.23990000000001</v>
    <v>Diversified Retail</v>
    <v>Stock</v>
    <v>44860.600838865626</v>
    <v>0</v>
    <v>114.76</v>
    <v>1228619000000</v>
    <v>AMAZON.COM, INC.</v>
    <v>AMAZON.COM, INC.</v>
    <v>115.86</v>
    <v>108.4509</v>
    <v>120.6</v>
    <v>114.96</v>
    <v>10187550000</v>
    <v>AMZN</v>
    <v>AMAZON.COM, INC. (XNAS:AMZN)</v>
    <v>19394237</v>
    <v>56576189</v>
    <v>1996</v>
  </rv>
  <rv s="2">
    <v>1</v>
  </rv>
  <rv s="3">
    <v>12</v>
    <v>Price</v>
    <v>0</v>
  </rv>
  <rv s="0">
    <v>https://www.bing.com/financeapi/forcetrigger?t=a1qe5r&amp;q=XNAS%3aCSCO&amp;form=skydnc</v>
    <v>Learn more on Bing</v>
  </rv>
  <rv s="1">
    <v>0</v>
    <v>CISCO SYSTEMS, INC. (XNAS:CSCO)</v>
    <v>2</v>
    <v>3</v>
    <v>Finance</v>
    <v>5</v>
    <v>en-US</v>
    <v>a1qe5r</v>
    <v>268435456</v>
    <v>1</v>
    <v>Powered by Refinitiv</v>
    <v>64.284999999999997</v>
    <v>38.604999999999997</v>
    <v>0.96699999999999997</v>
    <v>0.32</v>
    <v>7.2140000000000008E-3</v>
    <v>USD</v>
    <v>Cisco Systems, Inc. is engaged in designing and selling a range of technologies that power the Internet. The Company is integrating its platforms across networking, security, collaboration, applications and the cloud. The Company operates through three geographic segments: the Americas; Europe, Middle East, and Africa (EMEA), and Asia Pacific, Japan, and China (APJC). The Company's products categories include Secure, Agile Networks; Internet for the Future; Collaboration; End-to-End Security; Optimized Application Experiences; Other Products, and Services. Secure, Agile Networks consists of its core networking technologies of switching, enterprise routing, wireless, and compute products. Internet for the Future consists of its routed optical networking, public fifth generation (5G), silicon, and optics offerings. Collaboration consists of its Collaboration Devices, Meetings, Calling and contact center offerings. End-to-End Security consists of its overall security offerings.</v>
    <v>83300</v>
    <v>Nasdaq Stock Market</v>
    <v>XNAS</v>
    <v>XNAS</v>
    <v>170 West Tasman Dr, SAN JOSE, CA, 95134-1706 US</v>
    <v>45.23</v>
    <v>Communications &amp; Networking</v>
    <v>Stock</v>
    <v>44860.59040689766</v>
    <v>4</v>
    <v>44.36</v>
    <v>183454694920</v>
    <v>CISCO SYSTEMS, INC.</v>
    <v>CISCO SYSTEMS, INC.</v>
    <v>44.93</v>
    <v>15.7491</v>
    <v>44.36</v>
    <v>44.68</v>
    <v>4105969000</v>
    <v>CSCO</v>
    <v>CISCO SYSTEMS, INC. (XNAS:CSCO)</v>
    <v>3897810</v>
    <v>20255594</v>
    <v>2021</v>
  </rv>
  <rv s="2">
    <v>5</v>
  </rv>
  <rv s="0">
    <v>https://www.bing.com/financeapi/forcetrigger?t=a1omu2&amp;q=ARCX%3aBLV&amp;form=skydnc</v>
    <v>Learn more on Bing</v>
  </rv>
  <rv s="4">
    <v>6</v>
    <v>Vanguard Lg-Tm Bd;ETF (ARCX:BLV)</v>
    <v>7</v>
    <v>8</v>
    <v>Finance</v>
    <v>9</v>
    <v>en-US</v>
    <v>a1omu2</v>
    <v>268435456</v>
    <v>1</v>
    <v>Powered by Refinitiv</v>
    <v>106.77</v>
    <v>66.44</v>
    <v>2.1017999999999999</v>
    <v>0.53459999999999996</v>
    <v>7.8100000000000001E-3</v>
    <v>USD</v>
    <v>NYSE Arca</v>
    <v>ARCX</v>
    <v>4.0000000000000002E-4</v>
    <v>69.48</v>
    <v>ETF</v>
    <v>44860.600799363281</v>
    <v>7</v>
    <v>68.712400000000002</v>
    <v>4079585604</v>
    <v>Vanguard Lg-Tm Bd;ETF</v>
    <v>68.81</v>
    <v>68.45</v>
    <v>68.9846</v>
    <v>BLV</v>
    <v>Vanguard Lg-Tm Bd;ETF (ARCX:BLV)</v>
    <v>201889</v>
    <v>623269</v>
  </rv>
  <rv s="2">
    <v>8</v>
  </rv>
</rvData>
</file>

<file path=xl/richData/rdrichvaluestructure.xml><?xml version="1.0" encoding="utf-8"?>
<rvStructures xmlns="http://schemas.microsoft.com/office/spreadsheetml/2017/richdata" count="5">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rvStructures>
</file>

<file path=xl/richData/rdsupportingpropertybag.xml><?xml version="1.0" encoding="utf-8"?>
<supportingPropertyBags xmlns="http://schemas.microsoft.com/office/spreadsheetml/2017/richdata2">
  <spbArrays count="2">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10">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4">
      <v>Delayed 15 minutes</v>
      <v>from previous close</v>
      <v>from previous close</v>
      <v>Source: Nasdaq</v>
      <v>GMT</v>
    </spb>
    <spb s="0">
      <v>1</v>
      <v>Name</v>
      <v>LearnMoreOnLink</v>
    </spb>
    <spb s="5">
      <v>1</v>
      <v>1</v>
      <v>1</v>
    </spb>
    <spb s="6">
      <v>1</v>
      <v>2</v>
      <v>1</v>
      <v>3</v>
      <v>1</v>
      <v>1</v>
      <v>1</v>
      <v>4</v>
      <v>5</v>
      <v>6</v>
      <v>1</v>
      <v>1</v>
      <v>5</v>
      <v>1</v>
      <v>4</v>
      <v>7</v>
      <v>9</v>
    </spb>
    <spb s="7">
      <v>Real-Time Nasdaq Last Sale</v>
      <v>from previous close</v>
      <v>Source: Nasdaq Last Sale</v>
      <v>from previous close</v>
      <v>GMT</v>
    </spb>
  </spbData>
</supportingPropertyBags>
</file>

<file path=xl/richData/rdsupportingpropertybagstructure.xml><?xml version="1.0" encoding="utf-8"?>
<spbStructures xmlns="http://schemas.microsoft.com/office/spreadsheetml/2017/richdata2" count="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s>
  <s>
    <k n="Price" t="s"/>
    <k n="Change" t="s"/>
    <k n="Ex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7C4458-4AB2-49E5-BE75-1F0F3D896EBD}" name="markets_vs_currency_USD_order_market_cap_desc_per_page_100_page_1_sparkline_fals" displayName="markets_vs_currency_USD_order_market_cap_desc_per_page_100_page_1_sparkline_fals" ref="A1:G101" tableType="queryTable" totalsRowShown="0">
  <tableColumns count="7">
    <tableColumn id="2" xr3:uid="{955A3829-62A7-4F5A-97A9-9DE2CED53F54}" uniqueName="2" name="ticker" queryTableFieldId="2" dataDxfId="0"/>
    <tableColumn id="8" xr3:uid="{746BD213-BE85-463F-A252-2A73348F4A0D}" uniqueName="8" name="coin" queryTableFieldId="1"/>
    <tableColumn id="3" xr3:uid="{504194B1-838F-42F4-A3EF-E260426AB379}" uniqueName="3" name="price" queryTableFieldId="3"/>
    <tableColumn id="4" xr3:uid="{8A850150-8621-4701-A7EA-6608CB39C91F}" uniqueName="4" name="mcap" queryTableFieldId="4"/>
    <tableColumn id="5" xr3:uid="{22A4D84E-169F-4B9C-8D10-CF36EDA4E127}" uniqueName="5" name="mcap rank" queryTableFieldId="5"/>
    <tableColumn id="6" xr3:uid="{63B2C688-EFB8-414B-82E3-886D8AB54444}" uniqueName="6" name="volume" queryTableFieldId="6"/>
    <tableColumn id="7" xr3:uid="{8D36CDF1-6D5C-4F92-AA2A-50FA303CC9F3}" uniqueName="7" name="24 hr change" queryTableFieldId="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70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1DF0CA4-0550-4A0C-ABB4-526312A4BACD}">
  <we:reference id="wa200001365" version="2.0.0.0" store="en-US" storeType="OMEX"/>
  <we:alternateReferences>
    <we:reference id="wa200001365" version="2.0.0.0" store="WA20000136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86C00-7DF0-46CC-AC86-FEBE87D82681}">
  <sheetPr codeName="Sheet3"/>
  <dimension ref="A1:O60"/>
  <sheetViews>
    <sheetView tabSelected="1" zoomScale="125" zoomScaleNormal="100" workbookViewId="0">
      <selection activeCell="L41" sqref="L41"/>
    </sheetView>
  </sheetViews>
  <sheetFormatPr baseColWidth="10" defaultColWidth="13.6640625" defaultRowHeight="15" x14ac:dyDescent="0.2"/>
  <cols>
    <col min="1" max="1" width="13.6640625" style="34" customWidth="1"/>
    <col min="2" max="16384" width="13.6640625" style="33"/>
  </cols>
  <sheetData>
    <row r="1" spans="1:12" s="26" customFormat="1" x14ac:dyDescent="0.2">
      <c r="A1" s="25"/>
    </row>
    <row r="2" spans="1:12" s="28" customFormat="1" x14ac:dyDescent="0.2">
      <c r="A2" s="27"/>
    </row>
    <row r="3" spans="1:12" s="28" customFormat="1" x14ac:dyDescent="0.2">
      <c r="A3" s="27"/>
    </row>
    <row r="4" spans="1:12" s="28" customFormat="1" x14ac:dyDescent="0.2">
      <c r="A4" s="27"/>
    </row>
    <row r="5" spans="1:12" s="30" customFormat="1" ht="16" thickBot="1" x14ac:dyDescent="0.25">
      <c r="A5" s="29"/>
    </row>
    <row r="6" spans="1:12" s="8" customFormat="1" ht="16" thickBot="1" x14ac:dyDescent="0.25">
      <c r="B6" s="23" t="s">
        <v>44</v>
      </c>
      <c r="F6" s="23" t="s">
        <v>41</v>
      </c>
      <c r="J6" s="23" t="s">
        <v>55</v>
      </c>
    </row>
    <row r="7" spans="1:12" s="8" customFormat="1" x14ac:dyDescent="0.2">
      <c r="B7" s="81" t="s">
        <v>60</v>
      </c>
      <c r="C7" s="85"/>
      <c r="D7" s="82"/>
      <c r="F7" s="81" t="s">
        <v>16</v>
      </c>
      <c r="G7" s="85"/>
      <c r="H7" s="82"/>
      <c r="J7" s="81" t="s">
        <v>19</v>
      </c>
      <c r="K7" s="85"/>
      <c r="L7" s="82"/>
    </row>
    <row r="8" spans="1:12" s="8" customFormat="1" x14ac:dyDescent="0.2">
      <c r="B8" s="86" t="s">
        <v>13</v>
      </c>
      <c r="C8" s="87"/>
      <c r="D8" s="11">
        <v>6697.65</v>
      </c>
      <c r="F8" s="86" t="s">
        <v>20</v>
      </c>
      <c r="G8" s="87"/>
      <c r="H8" s="11">
        <v>5630.09</v>
      </c>
      <c r="J8" s="86" t="s">
        <v>53</v>
      </c>
      <c r="K8" s="87"/>
      <c r="L8" s="11">
        <f>G38</f>
        <v>1491.8901797047999</v>
      </c>
    </row>
    <row r="9" spans="1:12" s="8" customFormat="1" x14ac:dyDescent="0.2">
      <c r="B9" s="88" t="s">
        <v>15</v>
      </c>
      <c r="C9" s="87"/>
      <c r="D9" s="11">
        <v>-1044.47</v>
      </c>
      <c r="F9" s="88" t="s">
        <v>21</v>
      </c>
      <c r="G9" s="87"/>
      <c r="H9" s="11">
        <v>-3018.23</v>
      </c>
      <c r="J9" s="88" t="s">
        <v>62</v>
      </c>
      <c r="K9" s="87"/>
      <c r="L9" s="11">
        <f>0-F38</f>
        <v>-1651.6200000000001</v>
      </c>
    </row>
    <row r="10" spans="1:12" s="8" customFormat="1" ht="16" thickBot="1" x14ac:dyDescent="0.25">
      <c r="B10" s="89" t="s">
        <v>14</v>
      </c>
      <c r="C10" s="90"/>
      <c r="D10" s="10">
        <v>5653.18</v>
      </c>
      <c r="F10" s="89" t="s">
        <v>40</v>
      </c>
      <c r="G10" s="90"/>
      <c r="H10" s="10">
        <v>2611.86</v>
      </c>
      <c r="J10" s="89" t="s">
        <v>54</v>
      </c>
      <c r="K10" s="90"/>
      <c r="L10" s="10">
        <f>L8+L9</f>
        <v>-159.72982029520017</v>
      </c>
    </row>
    <row r="11" spans="1:12" s="8" customFormat="1" x14ac:dyDescent="0.2">
      <c r="F11" s="102" t="s">
        <v>42</v>
      </c>
      <c r="G11" s="102"/>
      <c r="H11" s="102"/>
    </row>
    <row r="12" spans="1:12" s="8" customFormat="1" ht="14.75" customHeight="1" thickBot="1" x14ac:dyDescent="0.25">
      <c r="B12" s="23" t="s">
        <v>43</v>
      </c>
      <c r="E12" s="24"/>
      <c r="F12" s="103"/>
      <c r="G12" s="103"/>
      <c r="H12" s="103"/>
      <c r="I12" s="24"/>
      <c r="J12" s="23" t="s">
        <v>56</v>
      </c>
    </row>
    <row r="13" spans="1:12" s="8" customFormat="1" x14ac:dyDescent="0.2">
      <c r="B13" s="81" t="s">
        <v>23</v>
      </c>
      <c r="C13" s="85"/>
      <c r="D13" s="82"/>
      <c r="F13" s="81" t="s">
        <v>24</v>
      </c>
      <c r="G13" s="85"/>
      <c r="H13" s="82"/>
      <c r="J13" s="81" t="s">
        <v>61</v>
      </c>
      <c r="K13" s="85"/>
      <c r="L13" s="82"/>
    </row>
    <row r="14" spans="1:12" s="8" customFormat="1" x14ac:dyDescent="0.2">
      <c r="B14" s="86" t="s">
        <v>17</v>
      </c>
      <c r="C14" s="87"/>
      <c r="D14" s="11">
        <v>2831.49</v>
      </c>
      <c r="F14" s="86" t="s">
        <v>17</v>
      </c>
      <c r="G14" s="87"/>
      <c r="H14" s="11">
        <v>5705.09</v>
      </c>
      <c r="J14" s="86" t="s">
        <v>57</v>
      </c>
      <c r="K14" s="87"/>
      <c r="L14" s="11">
        <v>0</v>
      </c>
    </row>
    <row r="15" spans="1:12" s="8" customFormat="1" x14ac:dyDescent="0.2">
      <c r="B15" s="88" t="s">
        <v>18</v>
      </c>
      <c r="C15" s="87"/>
      <c r="D15" s="11">
        <v>-1673.22</v>
      </c>
      <c r="F15" s="88" t="s">
        <v>39</v>
      </c>
      <c r="G15" s="87"/>
      <c r="H15" s="11">
        <v>-5438.23</v>
      </c>
      <c r="J15" s="88" t="s">
        <v>58</v>
      </c>
      <c r="K15" s="87"/>
      <c r="L15" s="11">
        <v>0</v>
      </c>
    </row>
    <row r="16" spans="1:12" s="8" customFormat="1" ht="16" thickBot="1" x14ac:dyDescent="0.25">
      <c r="B16" s="89" t="s">
        <v>22</v>
      </c>
      <c r="C16" s="90"/>
      <c r="D16" s="10">
        <v>1158.2699999999998</v>
      </c>
      <c r="F16" s="89" t="s">
        <v>25</v>
      </c>
      <c r="G16" s="90"/>
      <c r="H16" s="10">
        <v>266.86000000000058</v>
      </c>
      <c r="J16" s="89" t="s">
        <v>59</v>
      </c>
      <c r="K16" s="90"/>
      <c r="L16" s="10">
        <v>0</v>
      </c>
    </row>
    <row r="17" spans="1:12" s="8" customFormat="1" x14ac:dyDescent="0.2"/>
    <row r="18" spans="1:12" s="8" customFormat="1" ht="16" thickBot="1" x14ac:dyDescent="0.25">
      <c r="B18" s="23" t="s">
        <v>48</v>
      </c>
      <c r="F18" s="23" t="s">
        <v>45</v>
      </c>
      <c r="J18" s="23" t="s">
        <v>50</v>
      </c>
    </row>
    <row r="19" spans="1:12" s="8" customFormat="1" x14ac:dyDescent="0.2">
      <c r="B19" s="81" t="s">
        <v>46</v>
      </c>
      <c r="C19" s="85"/>
      <c r="D19" s="82"/>
      <c r="F19" s="81" t="s">
        <v>26</v>
      </c>
      <c r="G19" s="85"/>
      <c r="H19" s="82"/>
      <c r="J19" s="81" t="s">
        <v>49</v>
      </c>
      <c r="K19" s="85"/>
      <c r="L19" s="82"/>
    </row>
    <row r="20" spans="1:12" s="8" customFormat="1" x14ac:dyDescent="0.2">
      <c r="B20" s="13" t="s">
        <v>25</v>
      </c>
      <c r="C20" s="14"/>
      <c r="D20" s="11">
        <f>H16</f>
        <v>266.86000000000058</v>
      </c>
      <c r="F20" s="13" t="s">
        <v>28</v>
      </c>
      <c r="G20" s="14"/>
      <c r="H20" s="11">
        <v>300</v>
      </c>
      <c r="J20" s="86" t="s">
        <v>51</v>
      </c>
      <c r="K20" s="87"/>
      <c r="L20" s="11">
        <v>2000</v>
      </c>
    </row>
    <row r="21" spans="1:12" s="8" customFormat="1" x14ac:dyDescent="0.2">
      <c r="B21" s="15" t="s">
        <v>22</v>
      </c>
      <c r="C21" s="14"/>
      <c r="D21" s="11">
        <f>D16</f>
        <v>1158.2699999999998</v>
      </c>
      <c r="F21" s="15" t="s">
        <v>27</v>
      </c>
      <c r="G21" s="14"/>
      <c r="H21" s="11">
        <v>0</v>
      </c>
      <c r="J21" s="88" t="s">
        <v>27</v>
      </c>
      <c r="K21" s="87"/>
      <c r="L21" s="11">
        <v>0</v>
      </c>
    </row>
    <row r="22" spans="1:12" s="8" customFormat="1" ht="16" thickBot="1" x14ac:dyDescent="0.25">
      <c r="B22" s="16" t="s">
        <v>47</v>
      </c>
      <c r="C22" s="17"/>
      <c r="D22" s="10">
        <f>D20+D21</f>
        <v>1425.1300000000003</v>
      </c>
      <c r="F22" s="89" t="s">
        <v>29</v>
      </c>
      <c r="G22" s="90"/>
      <c r="H22" s="10">
        <v>300</v>
      </c>
      <c r="J22" s="89" t="s">
        <v>29</v>
      </c>
      <c r="K22" s="90"/>
      <c r="L22" s="10">
        <v>2000</v>
      </c>
    </row>
    <row r="23" spans="1:12" s="8" customFormat="1" ht="16" thickBot="1" x14ac:dyDescent="0.25"/>
    <row r="24" spans="1:12" s="32" customFormat="1" ht="16" thickBot="1" x14ac:dyDescent="0.25">
      <c r="A24" s="31"/>
    </row>
    <row r="25" spans="1:12" s="38" customFormat="1" x14ac:dyDescent="0.2">
      <c r="A25" s="37"/>
    </row>
    <row r="26" spans="1:12" s="36" customFormat="1" x14ac:dyDescent="0.2">
      <c r="A26" s="35"/>
      <c r="E26" s="36" t="s">
        <v>267</v>
      </c>
    </row>
    <row r="27" spans="1:12" s="36" customFormat="1" x14ac:dyDescent="0.2">
      <c r="A27" s="35"/>
    </row>
    <row r="28" spans="1:12" s="40" customFormat="1" ht="16" thickBot="1" x14ac:dyDescent="0.25">
      <c r="A28" s="39"/>
    </row>
    <row r="29" spans="1:12" s="8" customFormat="1" ht="16" thickBot="1" x14ac:dyDescent="0.25">
      <c r="A29" s="9"/>
    </row>
    <row r="30" spans="1:12" s="8" customFormat="1" x14ac:dyDescent="0.2">
      <c r="A30" s="9"/>
      <c r="B30" s="98" t="s">
        <v>63</v>
      </c>
      <c r="C30" s="99"/>
      <c r="D30" s="12" t="s">
        <v>72</v>
      </c>
      <c r="E30" s="12" t="s">
        <v>64</v>
      </c>
      <c r="F30" s="12" t="s">
        <v>65</v>
      </c>
      <c r="G30" s="12" t="s">
        <v>66</v>
      </c>
      <c r="H30" s="12" t="s">
        <v>70</v>
      </c>
      <c r="I30" s="12" t="s">
        <v>71</v>
      </c>
      <c r="J30" s="12" t="s">
        <v>68</v>
      </c>
      <c r="K30" s="12" t="s">
        <v>69</v>
      </c>
      <c r="L30" s="12" t="s">
        <v>67</v>
      </c>
    </row>
    <row r="31" spans="1:12" s="8" customFormat="1" x14ac:dyDescent="0.2">
      <c r="A31" s="9"/>
      <c r="B31" s="93" t="s">
        <v>73</v>
      </c>
      <c r="C31" s="94"/>
      <c r="D31" s="41" t="s">
        <v>75</v>
      </c>
      <c r="E31" s="42">
        <v>3.6350199999999999E-2</v>
      </c>
      <c r="F31" s="11">
        <v>780</v>
      </c>
      <c r="G31" s="11">
        <f>F31+F31*I31</f>
        <v>696.10778400800007</v>
      </c>
      <c r="H31" s="11">
        <f>G31-F31</f>
        <v>-83.892215991999933</v>
      </c>
      <c r="I31" s="46">
        <f>(K31-J31)/J31</f>
        <v>-0.10755412306666659</v>
      </c>
      <c r="J31" s="11">
        <f t="shared" ref="J31:J36" si="0">F31/E31</f>
        <v>21457.92870465637</v>
      </c>
      <c r="K31" s="11">
        <f>VLOOKUP(B31,'Crypto API'!1:1048576,3,0)</f>
        <v>19150.04</v>
      </c>
      <c r="L31" s="46">
        <f t="shared" ref="L31:L37" si="1">G31/G$38</f>
        <v>0.46659452115016858</v>
      </c>
    </row>
    <row r="32" spans="1:12" s="8" customFormat="1" x14ac:dyDescent="0.2">
      <c r="B32" s="100" t="s">
        <v>169</v>
      </c>
      <c r="C32" s="101"/>
      <c r="D32" s="41" t="s">
        <v>75</v>
      </c>
      <c r="E32" s="42">
        <v>0.13243536</v>
      </c>
      <c r="F32" s="11">
        <v>200</v>
      </c>
      <c r="G32" s="11">
        <f>F32+F32*I32</f>
        <v>170.52774259680001</v>
      </c>
      <c r="H32" s="11">
        <f>G32-F32</f>
        <v>-29.47225740319999</v>
      </c>
      <c r="I32" s="46">
        <f>(K32-J32)/J32</f>
        <v>-0.14736128701599993</v>
      </c>
      <c r="J32" s="11">
        <f t="shared" si="0"/>
        <v>1510.1706976142927</v>
      </c>
      <c r="K32" s="11">
        <f>VLOOKUP(B32,'Crypto API'!1:1048576,3,0)</f>
        <v>1287.6300000000001</v>
      </c>
      <c r="L32" s="46">
        <f t="shared" si="1"/>
        <v>0.11430314705238043</v>
      </c>
    </row>
    <row r="33" spans="1:15" s="8" customFormat="1" x14ac:dyDescent="0.2">
      <c r="B33" s="100" t="s">
        <v>175</v>
      </c>
      <c r="C33" s="101"/>
      <c r="D33" s="41" t="s">
        <v>75</v>
      </c>
      <c r="E33" s="42">
        <v>304.5</v>
      </c>
      <c r="F33" s="11">
        <v>150</v>
      </c>
      <c r="G33" s="11">
        <f>F33+F33*I33</f>
        <v>106.36154550000001</v>
      </c>
      <c r="H33" s="11">
        <f>G33-F33</f>
        <v>-43.638454499999995</v>
      </c>
      <c r="I33" s="46">
        <f>(K33-J33)/J33</f>
        <v>-0.29092302999999997</v>
      </c>
      <c r="J33" s="11">
        <f t="shared" si="0"/>
        <v>0.49261083743842365</v>
      </c>
      <c r="K33" s="11">
        <f>VLOOKUP(B33,'Crypto API'!1:1048576,3,0)</f>
        <v>0.34929900000000003</v>
      </c>
      <c r="L33" s="46">
        <f t="shared" si="1"/>
        <v>7.1293146738887814E-2</v>
      </c>
    </row>
    <row r="34" spans="1:15" s="8" customFormat="1" x14ac:dyDescent="0.2">
      <c r="B34" s="95" t="e" vm="1">
        <v>#VALUE!</v>
      </c>
      <c r="C34" s="96"/>
      <c r="D34" s="41" t="s">
        <v>76</v>
      </c>
      <c r="E34" s="42">
        <v>2</v>
      </c>
      <c r="F34" s="11">
        <v>219.66</v>
      </c>
      <c r="G34" s="11">
        <f t="shared" ref="G34:G36" si="2">F34+F34*I34</f>
        <v>229.92</v>
      </c>
      <c r="H34" s="11">
        <f t="shared" ref="H34:H36" si="3">G34-F34</f>
        <v>10.259999999999991</v>
      </c>
      <c r="I34" s="46">
        <f t="shared" ref="I34:I36" si="4">(K34-J34)/J34</f>
        <v>4.6708549576618366E-2</v>
      </c>
      <c r="J34" s="11">
        <f t="shared" si="0"/>
        <v>109.83</v>
      </c>
      <c r="K34" s="62" cm="1">
        <f t="array" ref="K34">_FV(B34,"Price")</f>
        <v>114.96</v>
      </c>
      <c r="L34" s="46">
        <f t="shared" si="1"/>
        <v>0.15411322034809172</v>
      </c>
      <c r="M34" s="69" t="e" cm="1" vm="2">
        <f t="array" ref="M34">_FV(K34,"Price")</f>
        <v>#VALUE!</v>
      </c>
      <c r="N34" s="69" t="e" cm="1" vm="2">
        <f t="array" ref="N34">_FV(K34,"Price")</f>
        <v>#VALUE!</v>
      </c>
      <c r="O34" s="69" t="e" cm="1" vm="2">
        <f t="array" ref="O34">_FV(K34,"Price")</f>
        <v>#VALUE!</v>
      </c>
    </row>
    <row r="35" spans="1:15" s="8" customFormat="1" x14ac:dyDescent="0.2">
      <c r="B35" s="97" t="e" vm="3">
        <v>#VALUE!</v>
      </c>
      <c r="C35" s="94"/>
      <c r="D35" s="43" t="s">
        <v>76</v>
      </c>
      <c r="E35" s="44">
        <v>3</v>
      </c>
      <c r="F35" s="45">
        <v>127.37</v>
      </c>
      <c r="G35" s="11">
        <f t="shared" si="2"/>
        <v>134.04</v>
      </c>
      <c r="H35" s="11">
        <f t="shared" si="3"/>
        <v>6.6699999999999875</v>
      </c>
      <c r="I35" s="46">
        <f t="shared" si="4"/>
        <v>5.2367119415874908E-2</v>
      </c>
      <c r="J35" s="11">
        <f t="shared" si="0"/>
        <v>42.456666666666671</v>
      </c>
      <c r="K35" s="62" cm="1">
        <f t="array" ref="K35">_FV(B35,"Price")</f>
        <v>44.68</v>
      </c>
      <c r="L35" s="46">
        <f t="shared" si="1"/>
        <v>8.9845755286439691E-2</v>
      </c>
      <c r="M35" s="9"/>
    </row>
    <row r="36" spans="1:15" s="8" customFormat="1" x14ac:dyDescent="0.2">
      <c r="A36" s="9"/>
      <c r="B36" s="95" t="e" vm="4">
        <v>#VALUE!</v>
      </c>
      <c r="C36" s="96"/>
      <c r="D36" s="67" t="s">
        <v>76</v>
      </c>
      <c r="E36" s="44">
        <v>2.0059999999999998</v>
      </c>
      <c r="F36" s="49">
        <v>158.04</v>
      </c>
      <c r="G36" s="50">
        <f t="shared" si="2"/>
        <v>138.38310759999999</v>
      </c>
      <c r="H36" s="50">
        <f t="shared" si="3"/>
        <v>-19.656892400000004</v>
      </c>
      <c r="I36" s="51">
        <f t="shared" si="4"/>
        <v>-0.12437922298152373</v>
      </c>
      <c r="J36" s="50">
        <f t="shared" si="0"/>
        <v>78.783649052841483</v>
      </c>
      <c r="K36" s="62" cm="1">
        <f t="array" ref="K36">_FV(B36,"Price")</f>
        <v>68.9846</v>
      </c>
      <c r="L36" s="51">
        <f t="shared" si="1"/>
        <v>9.2756899591216441E-2</v>
      </c>
    </row>
    <row r="37" spans="1:15" s="8" customFormat="1" ht="16" thickBot="1" x14ac:dyDescent="0.25">
      <c r="A37" s="9"/>
      <c r="B37" s="77" t="s">
        <v>262</v>
      </c>
      <c r="C37" s="78"/>
      <c r="D37" s="47" t="s">
        <v>76</v>
      </c>
      <c r="E37" s="48">
        <v>16.55</v>
      </c>
      <c r="F37" s="68">
        <v>16.55</v>
      </c>
      <c r="G37" s="50">
        <v>16.55</v>
      </c>
      <c r="H37" s="50"/>
      <c r="I37" s="51"/>
      <c r="J37" s="50"/>
      <c r="K37" s="68"/>
      <c r="L37" s="51">
        <f t="shared" si="1"/>
        <v>1.1093309832815406E-2</v>
      </c>
    </row>
    <row r="38" spans="1:15" s="8" customFormat="1" ht="16" thickBot="1" x14ac:dyDescent="0.25">
      <c r="A38" s="9"/>
      <c r="B38" s="91" t="s">
        <v>0</v>
      </c>
      <c r="C38" s="92"/>
      <c r="D38" s="79"/>
      <c r="E38" s="80"/>
      <c r="F38" s="52">
        <f>SUM(F31:F37)</f>
        <v>1651.6200000000001</v>
      </c>
      <c r="G38" s="52">
        <f>SUM(G31:G37)</f>
        <v>1491.8901797047999</v>
      </c>
      <c r="H38" s="52">
        <f>SUM(H31:H37)</f>
        <v>-159.72982029519994</v>
      </c>
      <c r="I38" s="53">
        <f>H38/F38</f>
        <v>-9.6710999076785181E-2</v>
      </c>
      <c r="J38" s="79"/>
      <c r="K38" s="80"/>
      <c r="L38" s="54">
        <f>SUM(L31:L37)</f>
        <v>1</v>
      </c>
    </row>
    <row r="39" spans="1:15" s="8" customFormat="1" ht="16" thickBot="1" x14ac:dyDescent="0.25">
      <c r="A39" s="9"/>
    </row>
    <row r="40" spans="1:15" s="8" customFormat="1" x14ac:dyDescent="0.2">
      <c r="A40" s="9"/>
      <c r="B40" s="98" t="s">
        <v>63</v>
      </c>
      <c r="C40" s="99"/>
      <c r="D40" s="12" t="s">
        <v>260</v>
      </c>
      <c r="E40" s="12" t="s">
        <v>261</v>
      </c>
      <c r="F40" s="81" t="s">
        <v>257</v>
      </c>
      <c r="G40" s="82"/>
      <c r="H40" s="81" t="s">
        <v>258</v>
      </c>
      <c r="I40" s="82"/>
      <c r="J40" s="81" t="s">
        <v>259</v>
      </c>
      <c r="K40" s="82"/>
    </row>
    <row r="41" spans="1:15" s="8" customFormat="1" x14ac:dyDescent="0.2">
      <c r="A41" s="9"/>
      <c r="B41" s="100" t="s">
        <v>73</v>
      </c>
      <c r="C41" s="101"/>
      <c r="D41" s="41">
        <f>E41-F41</f>
        <v>19145.82</v>
      </c>
      <c r="E41" s="65">
        <f>K31</f>
        <v>19150.04</v>
      </c>
      <c r="F41" s="71">
        <f>VLOOKUP(B31,'Crypto API'!1:1048576,7,0)</f>
        <v>4.22</v>
      </c>
      <c r="G41" s="72"/>
      <c r="H41" s="73">
        <f t="shared" ref="H41:H46" si="5">F41/K31</f>
        <v>2.20365074955457E-4</v>
      </c>
      <c r="I41" s="74"/>
      <c r="J41" s="75">
        <f t="shared" ref="J41:J46" si="6">H41*G31</f>
        <v>0.15339784400000001</v>
      </c>
      <c r="K41" s="76"/>
    </row>
    <row r="42" spans="1:15" s="8" customFormat="1" x14ac:dyDescent="0.2">
      <c r="A42" s="9"/>
      <c r="B42" s="100" t="s">
        <v>169</v>
      </c>
      <c r="C42" s="101"/>
      <c r="D42" s="41">
        <f>E42-F42</f>
        <v>1295.2984755397567</v>
      </c>
      <c r="E42" s="65">
        <f>K32</f>
        <v>1287.6300000000001</v>
      </c>
      <c r="F42" s="71">
        <f>VLOOKUP(B32,'Crypto API'!1:1048576,7,0)</f>
        <v>-7.6684755397566278</v>
      </c>
      <c r="G42" s="72"/>
      <c r="H42" s="73">
        <f t="shared" si="5"/>
        <v>-5.9554961749544721E-3</v>
      </c>
      <c r="I42" s="74"/>
      <c r="J42" s="75">
        <f t="shared" si="6"/>
        <v>-1.0155773187588633</v>
      </c>
      <c r="K42" s="76"/>
    </row>
    <row r="43" spans="1:15" s="8" customFormat="1" x14ac:dyDescent="0.2">
      <c r="A43" s="9"/>
      <c r="B43" s="100" t="s">
        <v>175</v>
      </c>
      <c r="C43" s="101"/>
      <c r="D43" s="41">
        <f>E43-F43</f>
        <v>0.35707768965896064</v>
      </c>
      <c r="E43" s="65">
        <f>K33</f>
        <v>0.34929900000000003</v>
      </c>
      <c r="F43" s="71">
        <f>VLOOKUP(B33,'Crypto API'!1:1048576,7,0)</f>
        <v>-7.7786896589606153E-3</v>
      </c>
      <c r="G43" s="72"/>
      <c r="H43" s="73">
        <f t="shared" si="5"/>
        <v>-2.2269430084141707E-2</v>
      </c>
      <c r="I43" s="74"/>
      <c r="J43" s="75">
        <f t="shared" si="6"/>
        <v>-2.3686110011535071</v>
      </c>
      <c r="K43" s="76"/>
    </row>
    <row r="44" spans="1:15" s="8" customFormat="1" x14ac:dyDescent="0.2">
      <c r="A44" s="9"/>
      <c r="B44" s="95" t="s">
        <v>74</v>
      </c>
      <c r="C44" s="96"/>
      <c r="D44" s="41" cm="1">
        <f t="array" ref="D44">_FV(B34,"Open")</f>
        <v>115.86</v>
      </c>
      <c r="E44" s="65">
        <f>K34</f>
        <v>114.96</v>
      </c>
      <c r="F44" s="71">
        <f>E44-D44</f>
        <v>-0.90000000000000568</v>
      </c>
      <c r="G44" s="72"/>
      <c r="H44" s="73">
        <f t="shared" si="5"/>
        <v>-7.8288100208768769E-3</v>
      </c>
      <c r="I44" s="74"/>
      <c r="J44" s="75">
        <f t="shared" si="6"/>
        <v>-1.8000000000000114</v>
      </c>
      <c r="K44" s="76"/>
    </row>
    <row r="45" spans="1:15" s="8" customFormat="1" x14ac:dyDescent="0.2">
      <c r="A45" s="9"/>
      <c r="B45" s="95" t="s">
        <v>78</v>
      </c>
      <c r="C45" s="96"/>
      <c r="D45" s="41" cm="1">
        <f t="array" ref="D45">_FV(B35,"Open")</f>
        <v>44.93</v>
      </c>
      <c r="E45" s="65">
        <f>K35</f>
        <v>44.68</v>
      </c>
      <c r="F45" s="71">
        <f t="shared" ref="F45:F46" si="7">E45-D45</f>
        <v>-0.25</v>
      </c>
      <c r="G45" s="72"/>
      <c r="H45" s="116">
        <f t="shared" si="5"/>
        <v>-5.5953446732318708E-3</v>
      </c>
      <c r="I45" s="117"/>
      <c r="J45" s="75">
        <f t="shared" si="6"/>
        <v>-0.74999999999999989</v>
      </c>
      <c r="K45" s="76"/>
    </row>
    <row r="46" spans="1:15" s="8" customFormat="1" ht="16" thickBot="1" x14ac:dyDescent="0.25">
      <c r="A46" s="9"/>
      <c r="B46" s="106" t="s">
        <v>77</v>
      </c>
      <c r="C46" s="107"/>
      <c r="D46" s="41" cm="1">
        <f t="array" ref="D46">_FV(B36,"Open")</f>
        <v>68.81</v>
      </c>
      <c r="E46" s="65">
        <f t="shared" ref="E46" si="8">K36</f>
        <v>68.9846</v>
      </c>
      <c r="F46" s="110">
        <f t="shared" si="7"/>
        <v>0.17459999999999809</v>
      </c>
      <c r="G46" s="111"/>
      <c r="H46" s="118">
        <f t="shared" si="5"/>
        <v>2.5309996723906218E-3</v>
      </c>
      <c r="I46" s="119"/>
      <c r="J46" s="120">
        <f t="shared" si="6"/>
        <v>0.35024759999999616</v>
      </c>
      <c r="K46" s="121"/>
    </row>
    <row r="47" spans="1:15" s="8" customFormat="1" ht="16" thickBot="1" x14ac:dyDescent="0.25">
      <c r="A47" s="9"/>
      <c r="B47" s="91" t="s">
        <v>0</v>
      </c>
      <c r="C47" s="92"/>
      <c r="D47" s="79"/>
      <c r="E47" s="80"/>
      <c r="F47" s="108"/>
      <c r="G47" s="109"/>
      <c r="H47" s="114">
        <f>J47/G38</f>
        <v>-3.6400419747966476E-3</v>
      </c>
      <c r="I47" s="115"/>
      <c r="J47" s="112">
        <f>SUM(J41:K46)</f>
        <v>-5.4305428759123853</v>
      </c>
      <c r="K47" s="113"/>
    </row>
    <row r="48" spans="1:15" s="8" customFormat="1" x14ac:dyDescent="0.2">
      <c r="A48" s="9"/>
    </row>
    <row r="49" spans="1:9" s="8" customFormat="1" ht="16" thickBot="1" x14ac:dyDescent="0.25">
      <c r="A49" s="9"/>
      <c r="B49" s="63" t="s">
        <v>252</v>
      </c>
      <c r="E49" s="23" t="s">
        <v>255</v>
      </c>
      <c r="H49" s="8" t="s">
        <v>256</v>
      </c>
    </row>
    <row r="50" spans="1:9" s="8" customFormat="1" x14ac:dyDescent="0.2">
      <c r="A50" s="9"/>
      <c r="B50" s="98" t="s">
        <v>251</v>
      </c>
      <c r="C50" s="99"/>
      <c r="E50" s="81" t="s">
        <v>253</v>
      </c>
      <c r="F50" s="82"/>
      <c r="H50" s="81" t="s">
        <v>254</v>
      </c>
      <c r="I50" s="82"/>
    </row>
    <row r="51" spans="1:9" s="8" customFormat="1" ht="16" thickBot="1" x14ac:dyDescent="0.25">
      <c r="A51" s="9"/>
      <c r="B51" s="83">
        <f>D22+G38</f>
        <v>2917.0201797048003</v>
      </c>
      <c r="C51" s="84"/>
      <c r="D51" s="55"/>
      <c r="E51" s="104">
        <f>SUM(G34:G37)</f>
        <v>518.89310759999989</v>
      </c>
      <c r="F51" s="105"/>
      <c r="H51" s="104">
        <f>SUM(G31:G33)</f>
        <v>972.99707210480017</v>
      </c>
      <c r="I51" s="105"/>
    </row>
    <row r="52" spans="1:9" s="8" customFormat="1" ht="16" thickBot="1" x14ac:dyDescent="0.25">
      <c r="A52" s="9"/>
      <c r="B52" s="64">
        <f>C52/(B51-C52)</f>
        <v>-1.8582153786041822E-3</v>
      </c>
      <c r="C52" s="66">
        <f>J47</f>
        <v>-5.4305428759123853</v>
      </c>
      <c r="E52" s="64">
        <f>F52/(E51-F52)</f>
        <v>-4.2214211110089203E-3</v>
      </c>
      <c r="F52" s="66">
        <f>SUM(J44:K46)</f>
        <v>-2.199752400000015</v>
      </c>
      <c r="H52" s="64">
        <f>I52/(H51-I52)</f>
        <v>-3.3094634969458832E-3</v>
      </c>
      <c r="I52" s="66">
        <f>SUM(J41:J43)</f>
        <v>-3.2307904759123702</v>
      </c>
    </row>
    <row r="53" spans="1:9" s="8" customFormat="1" x14ac:dyDescent="0.2">
      <c r="A53" s="9"/>
    </row>
    <row r="55" spans="1:9" x14ac:dyDescent="0.2">
      <c r="C55" s="70"/>
    </row>
    <row r="56" spans="1:9" x14ac:dyDescent="0.2">
      <c r="C56" s="70"/>
    </row>
    <row r="57" spans="1:9" x14ac:dyDescent="0.2">
      <c r="C57" s="70"/>
    </row>
    <row r="58" spans="1:9" x14ac:dyDescent="0.2">
      <c r="C58" s="70"/>
    </row>
    <row r="59" spans="1:9" x14ac:dyDescent="0.2">
      <c r="C59" s="70"/>
    </row>
    <row r="60" spans="1:9" x14ac:dyDescent="0.2">
      <c r="C60" s="70"/>
    </row>
  </sheetData>
  <mergeCells count="82">
    <mergeCell ref="B43:C43"/>
    <mergeCell ref="F43:G43"/>
    <mergeCell ref="H43:I43"/>
    <mergeCell ref="J43:K43"/>
    <mergeCell ref="E50:F50"/>
    <mergeCell ref="J47:K47"/>
    <mergeCell ref="D47:E47"/>
    <mergeCell ref="H47:I47"/>
    <mergeCell ref="H44:I44"/>
    <mergeCell ref="H45:I45"/>
    <mergeCell ref="H46:I46"/>
    <mergeCell ref="J44:K44"/>
    <mergeCell ref="J45:K45"/>
    <mergeCell ref="J46:K46"/>
    <mergeCell ref="E51:F51"/>
    <mergeCell ref="H50:I50"/>
    <mergeCell ref="H51:I51"/>
    <mergeCell ref="B40:C40"/>
    <mergeCell ref="B41:C41"/>
    <mergeCell ref="B44:C44"/>
    <mergeCell ref="B45:C45"/>
    <mergeCell ref="B46:C46"/>
    <mergeCell ref="B47:C47"/>
    <mergeCell ref="F47:G47"/>
    <mergeCell ref="F40:G40"/>
    <mergeCell ref="F41:G41"/>
    <mergeCell ref="F44:G44"/>
    <mergeCell ref="F45:G45"/>
    <mergeCell ref="F46:G46"/>
    <mergeCell ref="B50:C50"/>
    <mergeCell ref="J22:K22"/>
    <mergeCell ref="J19:L19"/>
    <mergeCell ref="J20:K20"/>
    <mergeCell ref="F19:H19"/>
    <mergeCell ref="F11:H12"/>
    <mergeCell ref="F22:G22"/>
    <mergeCell ref="J15:K15"/>
    <mergeCell ref="J16:K16"/>
    <mergeCell ref="J13:L13"/>
    <mergeCell ref="J14:K14"/>
    <mergeCell ref="J21:K21"/>
    <mergeCell ref="F13:H13"/>
    <mergeCell ref="F14:G14"/>
    <mergeCell ref="F15:G15"/>
    <mergeCell ref="F16:G16"/>
    <mergeCell ref="B14:C14"/>
    <mergeCell ref="B15:C15"/>
    <mergeCell ref="B13:D13"/>
    <mergeCell ref="B16:C16"/>
    <mergeCell ref="F9:G9"/>
    <mergeCell ref="F10:G10"/>
    <mergeCell ref="J7:L7"/>
    <mergeCell ref="J8:K8"/>
    <mergeCell ref="J9:K9"/>
    <mergeCell ref="J10:K10"/>
    <mergeCell ref="F7:H7"/>
    <mergeCell ref="F8:G8"/>
    <mergeCell ref="B51:C51"/>
    <mergeCell ref="B7:D7"/>
    <mergeCell ref="B8:C8"/>
    <mergeCell ref="B9:C9"/>
    <mergeCell ref="B10:C10"/>
    <mergeCell ref="B38:C38"/>
    <mergeCell ref="D38:E38"/>
    <mergeCell ref="B19:D19"/>
    <mergeCell ref="B31:C31"/>
    <mergeCell ref="B34:C34"/>
    <mergeCell ref="B35:C35"/>
    <mergeCell ref="B30:C30"/>
    <mergeCell ref="B36:C36"/>
    <mergeCell ref="B33:C33"/>
    <mergeCell ref="B32:C32"/>
    <mergeCell ref="B42:C42"/>
    <mergeCell ref="F42:G42"/>
    <mergeCell ref="H42:I42"/>
    <mergeCell ref="J42:K42"/>
    <mergeCell ref="B37:C37"/>
    <mergeCell ref="J38:K38"/>
    <mergeCell ref="H40:I40"/>
    <mergeCell ref="H41:I41"/>
    <mergeCell ref="J40:K40"/>
    <mergeCell ref="J41:K41"/>
  </mergeCells>
  <conditionalFormatting sqref="D10">
    <cfRule type="cellIs" dxfId="29" priority="30" operator="lessThan">
      <formula>0</formula>
    </cfRule>
    <cfRule type="cellIs" dxfId="28" priority="31" operator="greaterThan">
      <formula>0</formula>
    </cfRule>
  </conditionalFormatting>
  <conditionalFormatting sqref="H10">
    <cfRule type="cellIs" dxfId="27" priority="28" operator="lessThan">
      <formula>0</formula>
    </cfRule>
    <cfRule type="cellIs" dxfId="26" priority="29" operator="greaterThan">
      <formula>0</formula>
    </cfRule>
  </conditionalFormatting>
  <conditionalFormatting sqref="L10">
    <cfRule type="cellIs" dxfId="25" priority="26" operator="lessThan">
      <formula>0</formula>
    </cfRule>
    <cfRule type="cellIs" dxfId="24" priority="27" operator="greaterThan">
      <formula>0</formula>
    </cfRule>
  </conditionalFormatting>
  <conditionalFormatting sqref="D16">
    <cfRule type="cellIs" dxfId="23" priority="24" operator="lessThan">
      <formula>0</formula>
    </cfRule>
    <cfRule type="cellIs" dxfId="22" priority="25" operator="greaterThan">
      <formula>0</formula>
    </cfRule>
  </conditionalFormatting>
  <conditionalFormatting sqref="H16">
    <cfRule type="cellIs" dxfId="21" priority="22" operator="lessThan">
      <formula>0</formula>
    </cfRule>
    <cfRule type="cellIs" dxfId="20" priority="23" operator="greaterThan">
      <formula>0</formula>
    </cfRule>
  </conditionalFormatting>
  <conditionalFormatting sqref="H22">
    <cfRule type="cellIs" dxfId="19" priority="20" operator="lessThan">
      <formula>0</formula>
    </cfRule>
    <cfRule type="cellIs" dxfId="18" priority="21" operator="greaterThan">
      <formula>0</formula>
    </cfRule>
  </conditionalFormatting>
  <conditionalFormatting sqref="D22">
    <cfRule type="cellIs" dxfId="17" priority="18" operator="lessThan">
      <formula>0</formula>
    </cfRule>
    <cfRule type="cellIs" dxfId="16" priority="19" operator="greaterThan">
      <formula>0</formula>
    </cfRule>
  </conditionalFormatting>
  <conditionalFormatting sqref="L22">
    <cfRule type="cellIs" dxfId="15" priority="16" operator="lessThan">
      <formula>0</formula>
    </cfRule>
    <cfRule type="cellIs" dxfId="14" priority="17" operator="greaterThan">
      <formula>0</formula>
    </cfRule>
  </conditionalFormatting>
  <conditionalFormatting sqref="L16">
    <cfRule type="cellIs" dxfId="13" priority="14" operator="lessThan">
      <formula>0</formula>
    </cfRule>
    <cfRule type="cellIs" dxfId="12" priority="15" operator="greaterThan">
      <formula>0</formula>
    </cfRule>
  </conditionalFormatting>
  <conditionalFormatting sqref="I31:I37">
    <cfRule type="cellIs" dxfId="11" priority="11" operator="greaterThan">
      <formula>0</formula>
    </cfRule>
  </conditionalFormatting>
  <conditionalFormatting sqref="H31:H37">
    <cfRule type="cellIs" dxfId="10" priority="10" operator="greaterThan">
      <formula>0</formula>
    </cfRule>
  </conditionalFormatting>
  <conditionalFormatting sqref="H31:I37">
    <cfRule type="cellIs" dxfId="9" priority="9" operator="lessThan">
      <formula>0</formula>
    </cfRule>
  </conditionalFormatting>
  <conditionalFormatting sqref="E52:F52">
    <cfRule type="cellIs" dxfId="8" priority="7" operator="greaterThan">
      <formula>0</formula>
    </cfRule>
    <cfRule type="cellIs" dxfId="7" priority="8" operator="lessThan">
      <formula>0</formula>
    </cfRule>
  </conditionalFormatting>
  <conditionalFormatting sqref="H52:I52">
    <cfRule type="cellIs" dxfId="6" priority="5" operator="greaterThan">
      <formula>0</formula>
    </cfRule>
    <cfRule type="cellIs" dxfId="5" priority="6" operator="lessThan">
      <formula>0</formula>
    </cfRule>
  </conditionalFormatting>
  <conditionalFormatting sqref="J41:J46">
    <cfRule type="cellIs" dxfId="4" priority="3" operator="greaterThan">
      <formula>0</formula>
    </cfRule>
    <cfRule type="cellIs" dxfId="3" priority="4" operator="lessThan">
      <formula>0</formula>
    </cfRule>
  </conditionalFormatting>
  <conditionalFormatting sqref="B52:C52">
    <cfRule type="cellIs" dxfId="2" priority="1" operator="greaterThan">
      <formula>0</formula>
    </cfRule>
    <cfRule type="cellIs" dxfId="1" priority="2" operator="lessThan">
      <formula>0</formula>
    </cfRule>
  </conditionalFormatting>
  <dataValidations disablePrompts="1" count="1">
    <dataValidation type="list" allowBlank="1" showInputMessage="1" showErrorMessage="1" sqref="I7" xr:uid="{7BF1DEA9-3358-450F-90B7-AE4770756573}">
      <formula1>"1min,5min,15min,30min,60min,daily,weekly,monthly"</formula1>
    </dataValidation>
  </dataValidations>
  <pageMargins left="0.7" right="0.7" top="0.75" bottom="0.75" header="0.3" footer="0.3"/>
  <pageSetup orientation="portrait" r:id="rId1"/>
  <ignoredErrors>
    <ignoredError sqref="M34" evalError="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E69A2-9E7B-4470-9EB8-CCFE94F05442}">
  <sheetPr codeName="Sheet2"/>
  <dimension ref="A1:K146"/>
  <sheetViews>
    <sheetView zoomScaleNormal="100" workbookViewId="0">
      <selection activeCell="H21" sqref="H21"/>
    </sheetView>
  </sheetViews>
  <sheetFormatPr baseColWidth="10" defaultColWidth="25.6640625" defaultRowHeight="15" x14ac:dyDescent="0.2"/>
  <cols>
    <col min="1" max="1" width="3.1640625" style="7" customWidth="1"/>
    <col min="2" max="2" width="25.6640625" style="5"/>
    <col min="3" max="5" width="25.6640625" style="4"/>
    <col min="6" max="6" width="25.6640625" style="6"/>
    <col min="7" max="7" width="3.1640625" style="7" customWidth="1"/>
    <col min="8" max="16384" width="25.6640625" style="8"/>
  </cols>
  <sheetData>
    <row r="1" spans="1:11" s="38" customFormat="1" x14ac:dyDescent="0.2">
      <c r="A1" s="37"/>
    </row>
    <row r="2" spans="1:11" s="36" customFormat="1" x14ac:dyDescent="0.2">
      <c r="A2" s="35"/>
      <c r="H2" s="58"/>
      <c r="I2" s="58"/>
      <c r="J2" s="58"/>
    </row>
    <row r="3" spans="1:11" s="36" customFormat="1" x14ac:dyDescent="0.2">
      <c r="A3" s="35"/>
      <c r="H3" s="58"/>
      <c r="I3" s="59"/>
      <c r="J3" s="58"/>
      <c r="K3" s="59"/>
    </row>
    <row r="4" spans="1:11" s="40" customFormat="1" ht="16" thickBot="1" x14ac:dyDescent="0.25">
      <c r="A4" s="39"/>
      <c r="H4" s="60"/>
      <c r="I4" s="61"/>
      <c r="J4" s="60"/>
      <c r="K4" s="61"/>
    </row>
    <row r="5" spans="1:11" x14ac:dyDescent="0.2">
      <c r="A5" s="8"/>
      <c r="B5" s="8"/>
      <c r="C5" s="8"/>
      <c r="D5" s="8"/>
      <c r="E5" s="8"/>
      <c r="F5" s="8"/>
      <c r="G5" s="8"/>
      <c r="H5" s="56"/>
      <c r="I5" s="57"/>
      <c r="J5" s="56"/>
      <c r="K5" s="57"/>
    </row>
    <row r="6" spans="1:11" ht="14" customHeight="1" x14ac:dyDescent="0.2">
      <c r="B6" s="7"/>
      <c r="C6" s="7"/>
      <c r="D6" s="7"/>
      <c r="E6" s="7"/>
      <c r="F6" s="7"/>
    </row>
    <row r="7" spans="1:11" ht="14" customHeight="1" x14ac:dyDescent="0.2">
      <c r="B7" s="1" t="s">
        <v>2</v>
      </c>
      <c r="C7" s="2" t="s">
        <v>3</v>
      </c>
      <c r="D7" s="2" t="s">
        <v>8</v>
      </c>
      <c r="E7" s="2" t="s">
        <v>10</v>
      </c>
      <c r="F7" s="3" t="s">
        <v>35</v>
      </c>
    </row>
    <row r="8" spans="1:11" ht="14" customHeight="1" x14ac:dyDescent="0.2">
      <c r="B8" s="20">
        <v>44848</v>
      </c>
      <c r="C8" s="18" t="s">
        <v>34</v>
      </c>
      <c r="D8" s="21">
        <v>100</v>
      </c>
      <c r="E8" s="18" t="s">
        <v>11</v>
      </c>
      <c r="F8" s="19" t="s">
        <v>33</v>
      </c>
    </row>
    <row r="9" spans="1:11" ht="14" customHeight="1" x14ac:dyDescent="0.2">
      <c r="B9" s="1" t="s">
        <v>2</v>
      </c>
      <c r="C9" s="2" t="s">
        <v>3</v>
      </c>
      <c r="D9" s="2" t="s">
        <v>8</v>
      </c>
      <c r="E9" s="2" t="s">
        <v>9</v>
      </c>
      <c r="F9" s="3" t="s">
        <v>10</v>
      </c>
    </row>
    <row r="10" spans="1:11" ht="14" customHeight="1" x14ac:dyDescent="0.2">
      <c r="B10" s="20">
        <v>44848</v>
      </c>
      <c r="C10" s="18" t="s">
        <v>7</v>
      </c>
      <c r="D10" s="21">
        <v>294.29000000000002</v>
      </c>
      <c r="E10" s="18" t="s">
        <v>11</v>
      </c>
      <c r="F10" s="19" t="s">
        <v>4</v>
      </c>
    </row>
    <row r="11" spans="1:11" ht="14" customHeight="1" x14ac:dyDescent="0.2">
      <c r="B11" s="1" t="s">
        <v>2</v>
      </c>
      <c r="C11" s="2" t="s">
        <v>3</v>
      </c>
      <c r="D11" s="2" t="s">
        <v>1</v>
      </c>
      <c r="E11" s="2" t="s">
        <v>5</v>
      </c>
      <c r="F11" s="3" t="s">
        <v>6</v>
      </c>
    </row>
    <row r="12" spans="1:11" ht="14" customHeight="1" x14ac:dyDescent="0.2">
      <c r="B12" s="20">
        <v>44848</v>
      </c>
      <c r="C12" s="18" t="s">
        <v>4</v>
      </c>
      <c r="D12" s="21">
        <v>303.75</v>
      </c>
      <c r="E12" s="21">
        <v>9.4600000000000009</v>
      </c>
      <c r="F12" s="22">
        <v>294.29000000000002</v>
      </c>
    </row>
    <row r="13" spans="1:11" ht="14" customHeight="1" x14ac:dyDescent="0.2">
      <c r="B13" s="1" t="s">
        <v>2</v>
      </c>
      <c r="C13" s="2" t="s">
        <v>3</v>
      </c>
      <c r="D13" s="2" t="s">
        <v>8</v>
      </c>
      <c r="E13" s="2" t="s">
        <v>9</v>
      </c>
      <c r="F13" s="3" t="s">
        <v>10</v>
      </c>
    </row>
    <row r="14" spans="1:11" ht="14" customHeight="1" x14ac:dyDescent="0.2">
      <c r="B14" s="20">
        <v>44831</v>
      </c>
      <c r="C14" s="18" t="s">
        <v>7</v>
      </c>
      <c r="D14" s="21">
        <v>0.01</v>
      </c>
      <c r="E14" s="18" t="s">
        <v>33</v>
      </c>
      <c r="F14" s="19" t="s">
        <v>272</v>
      </c>
    </row>
    <row r="15" spans="1:11" ht="14" customHeight="1" x14ac:dyDescent="0.2">
      <c r="B15" s="1" t="s">
        <v>2</v>
      </c>
      <c r="C15" s="2" t="s">
        <v>3</v>
      </c>
      <c r="D15" s="2" t="s">
        <v>8</v>
      </c>
      <c r="E15" s="2" t="s">
        <v>10</v>
      </c>
      <c r="F15" s="3" t="s">
        <v>270</v>
      </c>
    </row>
    <row r="16" spans="1:11" ht="14" customHeight="1" x14ac:dyDescent="0.2">
      <c r="B16" s="20">
        <v>44845</v>
      </c>
      <c r="C16" s="18" t="s">
        <v>269</v>
      </c>
      <c r="D16" s="21">
        <v>10</v>
      </c>
      <c r="E16" s="18" t="s">
        <v>11</v>
      </c>
      <c r="F16" s="19" t="s">
        <v>271</v>
      </c>
    </row>
    <row r="17" spans="2:6" ht="14" customHeight="1" x14ac:dyDescent="0.2">
      <c r="B17" s="1" t="s">
        <v>2</v>
      </c>
      <c r="C17" s="2" t="s">
        <v>3</v>
      </c>
      <c r="D17" s="2" t="s">
        <v>8</v>
      </c>
      <c r="E17" s="2" t="s">
        <v>9</v>
      </c>
      <c r="F17" s="3" t="s">
        <v>10</v>
      </c>
    </row>
    <row r="18" spans="2:6" ht="14" customHeight="1" x14ac:dyDescent="0.2">
      <c r="B18" s="20">
        <v>44845</v>
      </c>
      <c r="C18" s="18" t="s">
        <v>7</v>
      </c>
      <c r="D18" s="21">
        <v>3</v>
      </c>
      <c r="E18" s="18" t="s">
        <v>11</v>
      </c>
      <c r="F18" s="19" t="s">
        <v>271</v>
      </c>
    </row>
    <row r="19" spans="2:6" ht="14" customHeight="1" x14ac:dyDescent="0.2">
      <c r="B19" s="1" t="s">
        <v>2</v>
      </c>
      <c r="C19" s="2" t="s">
        <v>3</v>
      </c>
      <c r="D19" s="2" t="s">
        <v>8</v>
      </c>
      <c r="E19" s="2" t="s">
        <v>10</v>
      </c>
      <c r="F19" s="3" t="s">
        <v>270</v>
      </c>
    </row>
    <row r="20" spans="2:6" ht="14" customHeight="1" x14ac:dyDescent="0.2">
      <c r="B20" s="20">
        <v>44837</v>
      </c>
      <c r="C20" s="18" t="s">
        <v>269</v>
      </c>
      <c r="D20" s="21">
        <v>23</v>
      </c>
      <c r="E20" s="18" t="s">
        <v>11</v>
      </c>
      <c r="F20" s="19" t="s">
        <v>271</v>
      </c>
    </row>
    <row r="21" spans="2:6" ht="14" customHeight="1" x14ac:dyDescent="0.2">
      <c r="B21" s="1" t="s">
        <v>2</v>
      </c>
      <c r="C21" s="2" t="s">
        <v>3</v>
      </c>
      <c r="D21" s="2" t="s">
        <v>8</v>
      </c>
      <c r="E21" s="2" t="s">
        <v>31</v>
      </c>
      <c r="F21" s="3" t="s">
        <v>12</v>
      </c>
    </row>
    <row r="22" spans="2:6" ht="14" customHeight="1" x14ac:dyDescent="0.2">
      <c r="B22" s="20">
        <v>44834</v>
      </c>
      <c r="C22" s="18" t="s">
        <v>30</v>
      </c>
      <c r="D22" s="21">
        <v>327.48</v>
      </c>
      <c r="E22" s="18" t="s">
        <v>38</v>
      </c>
      <c r="F22" s="19" t="s">
        <v>32</v>
      </c>
    </row>
    <row r="23" spans="2:6" ht="14" customHeight="1" x14ac:dyDescent="0.2">
      <c r="B23" s="1" t="s">
        <v>2</v>
      </c>
      <c r="C23" s="2" t="s">
        <v>3</v>
      </c>
      <c r="D23" s="2" t="s">
        <v>8</v>
      </c>
      <c r="E23" s="2" t="s">
        <v>10</v>
      </c>
      <c r="F23" s="3" t="s">
        <v>35</v>
      </c>
    </row>
    <row r="24" spans="2:6" ht="14" customHeight="1" x14ac:dyDescent="0.2">
      <c r="B24" s="20">
        <v>44834</v>
      </c>
      <c r="C24" s="18" t="s">
        <v>34</v>
      </c>
      <c r="D24" s="21">
        <v>100</v>
      </c>
      <c r="E24" s="18" t="s">
        <v>11</v>
      </c>
      <c r="F24" s="19" t="s">
        <v>33</v>
      </c>
    </row>
    <row r="25" spans="2:6" ht="14" customHeight="1" x14ac:dyDescent="0.2">
      <c r="B25" s="1" t="s">
        <v>2</v>
      </c>
      <c r="C25" s="2" t="s">
        <v>3</v>
      </c>
      <c r="D25" s="2" t="s">
        <v>8</v>
      </c>
      <c r="E25" s="2" t="s">
        <v>9</v>
      </c>
      <c r="F25" s="3" t="s">
        <v>10</v>
      </c>
    </row>
    <row r="26" spans="2:6" ht="14" customHeight="1" x14ac:dyDescent="0.2">
      <c r="B26" s="20">
        <v>44834</v>
      </c>
      <c r="C26" s="18" t="s">
        <v>7</v>
      </c>
      <c r="D26" s="21">
        <v>321.89999999999998</v>
      </c>
      <c r="E26" s="18" t="s">
        <v>11</v>
      </c>
      <c r="F26" s="19" t="s">
        <v>4</v>
      </c>
    </row>
    <row r="27" spans="2:6" ht="14" customHeight="1" x14ac:dyDescent="0.2">
      <c r="B27" s="1" t="s">
        <v>2</v>
      </c>
      <c r="C27" s="2" t="s">
        <v>3</v>
      </c>
      <c r="D27" s="2" t="s">
        <v>1</v>
      </c>
      <c r="E27" s="2" t="s">
        <v>5</v>
      </c>
      <c r="F27" s="3" t="s">
        <v>6</v>
      </c>
    </row>
    <row r="28" spans="2:6" ht="14" customHeight="1" x14ac:dyDescent="0.2">
      <c r="B28" s="20">
        <v>44834</v>
      </c>
      <c r="C28" s="18" t="s">
        <v>4</v>
      </c>
      <c r="D28" s="21">
        <v>333.75</v>
      </c>
      <c r="E28" s="21">
        <v>11.85</v>
      </c>
      <c r="F28" s="22">
        <v>321.89999999999998</v>
      </c>
    </row>
    <row r="29" spans="2:6" ht="14" customHeight="1" x14ac:dyDescent="0.2">
      <c r="B29" s="1" t="s">
        <v>2</v>
      </c>
      <c r="C29" s="2" t="s">
        <v>3</v>
      </c>
      <c r="D29" s="2" t="s">
        <v>8</v>
      </c>
      <c r="E29" s="2" t="s">
        <v>10</v>
      </c>
      <c r="F29" s="3" t="s">
        <v>270</v>
      </c>
    </row>
    <row r="30" spans="2:6" ht="14" customHeight="1" x14ac:dyDescent="0.2">
      <c r="B30" s="20">
        <v>44830</v>
      </c>
      <c r="C30" s="18" t="s">
        <v>269</v>
      </c>
      <c r="D30" s="21">
        <v>14</v>
      </c>
      <c r="E30" s="18" t="s">
        <v>11</v>
      </c>
      <c r="F30" s="19" t="s">
        <v>271</v>
      </c>
    </row>
    <row r="31" spans="2:6" ht="14" customHeight="1" x14ac:dyDescent="0.2">
      <c r="B31" s="1" t="s">
        <v>2</v>
      </c>
      <c r="C31" s="2" t="s">
        <v>3</v>
      </c>
      <c r="D31" s="2" t="s">
        <v>8</v>
      </c>
      <c r="E31" s="2" t="s">
        <v>31</v>
      </c>
      <c r="F31" s="3" t="s">
        <v>12</v>
      </c>
    </row>
    <row r="32" spans="2:6" ht="14" customHeight="1" x14ac:dyDescent="0.2">
      <c r="B32" s="20">
        <v>44830</v>
      </c>
      <c r="C32" s="18" t="s">
        <v>30</v>
      </c>
      <c r="D32" s="21">
        <v>361.16</v>
      </c>
      <c r="E32" s="18" t="s">
        <v>38</v>
      </c>
      <c r="F32" s="19" t="s">
        <v>32</v>
      </c>
    </row>
    <row r="33" spans="2:6" ht="14" customHeight="1" x14ac:dyDescent="0.2">
      <c r="B33" s="1" t="s">
        <v>2</v>
      </c>
      <c r="C33" s="2" t="s">
        <v>3</v>
      </c>
      <c r="D33" s="2" t="s">
        <v>8</v>
      </c>
      <c r="E33" s="2" t="s">
        <v>10</v>
      </c>
      <c r="F33" s="3" t="s">
        <v>270</v>
      </c>
    </row>
    <row r="34" spans="2:6" ht="14" customHeight="1" x14ac:dyDescent="0.2">
      <c r="B34" s="20">
        <v>44826</v>
      </c>
      <c r="C34" s="18" t="s">
        <v>269</v>
      </c>
      <c r="D34" s="21">
        <v>4</v>
      </c>
      <c r="E34" s="18" t="s">
        <v>11</v>
      </c>
      <c r="F34" s="19" t="s">
        <v>271</v>
      </c>
    </row>
    <row r="35" spans="2:6" ht="14" customHeight="1" x14ac:dyDescent="0.2">
      <c r="B35" s="1" t="s">
        <v>2</v>
      </c>
      <c r="C35" s="2" t="s">
        <v>3</v>
      </c>
      <c r="D35" s="2" t="s">
        <v>8</v>
      </c>
      <c r="E35" s="2" t="s">
        <v>10</v>
      </c>
      <c r="F35" s="3" t="s">
        <v>35</v>
      </c>
    </row>
    <row r="36" spans="2:6" ht="14" customHeight="1" x14ac:dyDescent="0.2">
      <c r="B36" s="20">
        <v>44823</v>
      </c>
      <c r="C36" s="18" t="s">
        <v>34</v>
      </c>
      <c r="D36" s="21">
        <v>100</v>
      </c>
      <c r="E36" s="18" t="s">
        <v>11</v>
      </c>
      <c r="F36" s="19" t="s">
        <v>52</v>
      </c>
    </row>
    <row r="37" spans="2:6" ht="14" customHeight="1" x14ac:dyDescent="0.2">
      <c r="B37" s="1" t="s">
        <v>2</v>
      </c>
      <c r="C37" s="2" t="s">
        <v>3</v>
      </c>
      <c r="D37" s="2" t="s">
        <v>8</v>
      </c>
      <c r="E37" s="2" t="s">
        <v>10</v>
      </c>
      <c r="F37" s="3" t="s">
        <v>35</v>
      </c>
    </row>
    <row r="38" spans="2:6" ht="14" customHeight="1" x14ac:dyDescent="0.2">
      <c r="B38" s="20">
        <v>44823</v>
      </c>
      <c r="C38" s="18" t="s">
        <v>34</v>
      </c>
      <c r="D38" s="21">
        <v>400</v>
      </c>
      <c r="E38" s="18" t="s">
        <v>11</v>
      </c>
      <c r="F38" s="19" t="s">
        <v>33</v>
      </c>
    </row>
    <row r="39" spans="2:6" ht="14" customHeight="1" x14ac:dyDescent="0.2">
      <c r="B39" s="1" t="s">
        <v>2</v>
      </c>
      <c r="C39" s="2" t="s">
        <v>3</v>
      </c>
      <c r="D39" s="2" t="s">
        <v>8</v>
      </c>
      <c r="E39" s="2" t="s">
        <v>10</v>
      </c>
      <c r="F39" s="3" t="s">
        <v>270</v>
      </c>
    </row>
    <row r="40" spans="2:6" ht="14" customHeight="1" x14ac:dyDescent="0.2">
      <c r="B40" s="20">
        <v>44823</v>
      </c>
      <c r="C40" s="18" t="s">
        <v>269</v>
      </c>
      <c r="D40" s="21">
        <v>32.700000000000003</v>
      </c>
      <c r="E40" s="18" t="s">
        <v>11</v>
      </c>
      <c r="F40" s="19" t="s">
        <v>271</v>
      </c>
    </row>
    <row r="41" spans="2:6" ht="14" customHeight="1" x14ac:dyDescent="0.2">
      <c r="B41" s="1" t="s">
        <v>2</v>
      </c>
      <c r="C41" s="2" t="s">
        <v>3</v>
      </c>
      <c r="D41" s="2" t="s">
        <v>8</v>
      </c>
      <c r="E41" s="2" t="s">
        <v>9</v>
      </c>
      <c r="F41" s="3" t="s">
        <v>10</v>
      </c>
    </row>
    <row r="42" spans="2:6" ht="14" customHeight="1" x14ac:dyDescent="0.2">
      <c r="B42" s="20">
        <v>44823</v>
      </c>
      <c r="C42" s="18" t="s">
        <v>7</v>
      </c>
      <c r="D42" s="21">
        <v>48.5</v>
      </c>
      <c r="E42" s="18" t="s">
        <v>11</v>
      </c>
      <c r="F42" s="19" t="s">
        <v>271</v>
      </c>
    </row>
    <row r="43" spans="2:6" ht="14" customHeight="1" x14ac:dyDescent="0.2">
      <c r="B43" s="1" t="s">
        <v>2</v>
      </c>
      <c r="C43" s="2" t="s">
        <v>3</v>
      </c>
      <c r="D43" s="2" t="s">
        <v>8</v>
      </c>
      <c r="E43" s="2" t="s">
        <v>10</v>
      </c>
      <c r="F43" s="3" t="s">
        <v>270</v>
      </c>
    </row>
    <row r="44" spans="2:6" ht="14" customHeight="1" x14ac:dyDescent="0.2">
      <c r="B44" s="20">
        <v>44820</v>
      </c>
      <c r="C44" s="18" t="s">
        <v>269</v>
      </c>
      <c r="D44" s="21">
        <v>30</v>
      </c>
      <c r="E44" s="18" t="s">
        <v>11</v>
      </c>
      <c r="F44" s="19" t="s">
        <v>271</v>
      </c>
    </row>
    <row r="45" spans="2:6" ht="14" customHeight="1" x14ac:dyDescent="0.2">
      <c r="B45" s="1" t="s">
        <v>2</v>
      </c>
      <c r="C45" s="2" t="s">
        <v>3</v>
      </c>
      <c r="D45" s="2" t="s">
        <v>8</v>
      </c>
      <c r="E45" s="2" t="s">
        <v>9</v>
      </c>
      <c r="F45" s="3" t="s">
        <v>10</v>
      </c>
    </row>
    <row r="46" spans="2:6" ht="14" customHeight="1" x14ac:dyDescent="0.2">
      <c r="B46" s="20">
        <v>44820</v>
      </c>
      <c r="C46" s="18" t="s">
        <v>7</v>
      </c>
      <c r="D46" s="21">
        <v>823.27</v>
      </c>
      <c r="E46" s="18" t="s">
        <v>11</v>
      </c>
      <c r="F46" s="19" t="s">
        <v>4</v>
      </c>
    </row>
    <row r="47" spans="2:6" ht="14" customHeight="1" x14ac:dyDescent="0.2">
      <c r="B47" s="1" t="s">
        <v>2</v>
      </c>
      <c r="C47" s="2" t="s">
        <v>3</v>
      </c>
      <c r="D47" s="2" t="s">
        <v>1</v>
      </c>
      <c r="E47" s="2" t="s">
        <v>5</v>
      </c>
      <c r="F47" s="3" t="s">
        <v>6</v>
      </c>
    </row>
    <row r="48" spans="2:6" ht="14" customHeight="1" x14ac:dyDescent="0.2">
      <c r="B48" s="20">
        <v>44820</v>
      </c>
      <c r="C48" s="18" t="s">
        <v>4</v>
      </c>
      <c r="D48" s="21">
        <v>922.5</v>
      </c>
      <c r="E48" s="21">
        <v>99.23</v>
      </c>
      <c r="F48" s="22">
        <v>823.27</v>
      </c>
    </row>
    <row r="49" spans="2:6" ht="14" customHeight="1" x14ac:dyDescent="0.2">
      <c r="B49" s="1" t="s">
        <v>2</v>
      </c>
      <c r="C49" s="2" t="s">
        <v>3</v>
      </c>
      <c r="D49" s="2" t="s">
        <v>8</v>
      </c>
      <c r="E49" s="2" t="s">
        <v>9</v>
      </c>
      <c r="F49" s="3" t="s">
        <v>10</v>
      </c>
    </row>
    <row r="50" spans="2:6" ht="14" customHeight="1" x14ac:dyDescent="0.2">
      <c r="B50" s="20">
        <v>44806</v>
      </c>
      <c r="C50" s="18" t="s">
        <v>7</v>
      </c>
      <c r="D50" s="21">
        <v>0.02</v>
      </c>
      <c r="E50" s="18" t="s">
        <v>33</v>
      </c>
      <c r="F50" s="19" t="s">
        <v>272</v>
      </c>
    </row>
    <row r="51" spans="2:6" ht="14" customHeight="1" x14ac:dyDescent="0.2">
      <c r="B51" s="1" t="s">
        <v>2</v>
      </c>
      <c r="C51" s="2" t="s">
        <v>3</v>
      </c>
      <c r="D51" s="2" t="s">
        <v>8</v>
      </c>
      <c r="E51" s="2" t="s">
        <v>31</v>
      </c>
      <c r="F51" s="3" t="s">
        <v>12</v>
      </c>
    </row>
    <row r="52" spans="2:6" ht="14" customHeight="1" x14ac:dyDescent="0.2">
      <c r="B52" s="20">
        <v>44806</v>
      </c>
      <c r="C52" s="18" t="s">
        <v>30</v>
      </c>
      <c r="D52" s="21">
        <v>224.03</v>
      </c>
      <c r="E52" s="18" t="s">
        <v>38</v>
      </c>
      <c r="F52" s="19" t="s">
        <v>32</v>
      </c>
    </row>
    <row r="53" spans="2:6" ht="14" customHeight="1" x14ac:dyDescent="0.2">
      <c r="B53" s="1" t="s">
        <v>2</v>
      </c>
      <c r="C53" s="2" t="s">
        <v>3</v>
      </c>
      <c r="D53" s="2" t="s">
        <v>8</v>
      </c>
      <c r="E53" s="2" t="s">
        <v>10</v>
      </c>
      <c r="F53" s="3" t="s">
        <v>270</v>
      </c>
    </row>
    <row r="54" spans="2:6" ht="14" customHeight="1" x14ac:dyDescent="0.2">
      <c r="B54" s="20">
        <v>44810</v>
      </c>
      <c r="C54" s="18" t="s">
        <v>269</v>
      </c>
      <c r="D54" s="21">
        <v>30</v>
      </c>
      <c r="E54" s="18" t="s">
        <v>11</v>
      </c>
      <c r="F54" s="19" t="s">
        <v>271</v>
      </c>
    </row>
    <row r="55" spans="2:6" ht="14" customHeight="1" x14ac:dyDescent="0.2">
      <c r="B55" s="1" t="s">
        <v>2</v>
      </c>
      <c r="C55" s="2" t="s">
        <v>3</v>
      </c>
      <c r="D55" s="2" t="s">
        <v>8</v>
      </c>
      <c r="E55" s="2" t="s">
        <v>10</v>
      </c>
      <c r="F55" s="3" t="s">
        <v>270</v>
      </c>
    </row>
    <row r="56" spans="2:6" ht="14" customHeight="1" x14ac:dyDescent="0.2">
      <c r="B56" s="20">
        <v>44809</v>
      </c>
      <c r="C56" s="18" t="s">
        <v>269</v>
      </c>
      <c r="D56" s="21">
        <v>40</v>
      </c>
      <c r="E56" s="18" t="s">
        <v>11</v>
      </c>
      <c r="F56" s="19" t="s">
        <v>283</v>
      </c>
    </row>
    <row r="57" spans="2:6" ht="14" customHeight="1" x14ac:dyDescent="0.2">
      <c r="B57" s="1" t="s">
        <v>2</v>
      </c>
      <c r="C57" s="2" t="s">
        <v>3</v>
      </c>
      <c r="D57" s="2" t="s">
        <v>8</v>
      </c>
      <c r="E57" s="2" t="s">
        <v>10</v>
      </c>
      <c r="F57" s="3" t="s">
        <v>35</v>
      </c>
    </row>
    <row r="58" spans="2:6" ht="14" customHeight="1" x14ac:dyDescent="0.2">
      <c r="B58" s="20">
        <v>44809</v>
      </c>
      <c r="C58" s="18" t="s">
        <v>34</v>
      </c>
      <c r="D58" s="21">
        <v>400</v>
      </c>
      <c r="E58" s="18" t="s">
        <v>11</v>
      </c>
      <c r="F58" s="19" t="s">
        <v>33</v>
      </c>
    </row>
    <row r="59" spans="2:6" ht="14" customHeight="1" x14ac:dyDescent="0.2">
      <c r="B59" s="1" t="s">
        <v>2</v>
      </c>
      <c r="C59" s="2" t="s">
        <v>3</v>
      </c>
      <c r="D59" s="2" t="s">
        <v>8</v>
      </c>
      <c r="E59" s="2" t="s">
        <v>10</v>
      </c>
      <c r="F59" s="3" t="s">
        <v>270</v>
      </c>
    </row>
    <row r="60" spans="2:6" ht="14" customHeight="1" x14ac:dyDescent="0.2">
      <c r="B60" s="20">
        <v>44806</v>
      </c>
      <c r="C60" s="18" t="s">
        <v>269</v>
      </c>
      <c r="D60" s="21">
        <v>25</v>
      </c>
      <c r="E60" s="18" t="s">
        <v>11</v>
      </c>
      <c r="F60" s="19" t="s">
        <v>271</v>
      </c>
    </row>
    <row r="61" spans="2:6" ht="14" customHeight="1" x14ac:dyDescent="0.2">
      <c r="B61" s="1" t="s">
        <v>2</v>
      </c>
      <c r="C61" s="2" t="s">
        <v>3</v>
      </c>
      <c r="D61" s="2" t="s">
        <v>8</v>
      </c>
      <c r="E61" s="2" t="s">
        <v>10</v>
      </c>
      <c r="F61" s="3" t="s">
        <v>35</v>
      </c>
    </row>
    <row r="62" spans="2:6" ht="14" customHeight="1" x14ac:dyDescent="0.2">
      <c r="B62" s="20">
        <v>44806</v>
      </c>
      <c r="C62" s="18" t="s">
        <v>34</v>
      </c>
      <c r="D62" s="21">
        <v>50</v>
      </c>
      <c r="E62" s="18" t="s">
        <v>279</v>
      </c>
      <c r="F62" s="19" t="s">
        <v>11</v>
      </c>
    </row>
    <row r="63" spans="2:6" ht="14" customHeight="1" x14ac:dyDescent="0.2">
      <c r="B63" s="1" t="s">
        <v>2</v>
      </c>
      <c r="C63" s="2" t="s">
        <v>3</v>
      </c>
      <c r="D63" s="2" t="s">
        <v>8</v>
      </c>
      <c r="E63" s="2" t="s">
        <v>10</v>
      </c>
      <c r="F63" s="3" t="s">
        <v>270</v>
      </c>
    </row>
    <row r="64" spans="2:6" ht="14" customHeight="1" x14ac:dyDescent="0.2">
      <c r="B64" s="20">
        <v>44806</v>
      </c>
      <c r="C64" s="18" t="s">
        <v>269</v>
      </c>
      <c r="D64" s="21">
        <v>100.31</v>
      </c>
      <c r="E64" s="18" t="s">
        <v>11</v>
      </c>
      <c r="F64" s="19" t="s">
        <v>271</v>
      </c>
    </row>
    <row r="65" spans="2:6" ht="14" customHeight="1" x14ac:dyDescent="0.2">
      <c r="B65" s="1" t="s">
        <v>2</v>
      </c>
      <c r="C65" s="2" t="s">
        <v>3</v>
      </c>
      <c r="D65" s="2" t="s">
        <v>8</v>
      </c>
      <c r="E65" s="2" t="s">
        <v>9</v>
      </c>
      <c r="F65" s="3" t="s">
        <v>10</v>
      </c>
    </row>
    <row r="66" spans="2:6" ht="14" customHeight="1" x14ac:dyDescent="0.2">
      <c r="B66" s="20">
        <v>44806</v>
      </c>
      <c r="C66" s="18" t="s">
        <v>7</v>
      </c>
      <c r="D66" s="21">
        <v>826</v>
      </c>
      <c r="E66" s="18" t="s">
        <v>11</v>
      </c>
      <c r="F66" s="19" t="s">
        <v>4</v>
      </c>
    </row>
    <row r="67" spans="2:6" ht="14" customHeight="1" x14ac:dyDescent="0.2">
      <c r="B67" s="1" t="s">
        <v>2</v>
      </c>
      <c r="C67" s="2" t="s">
        <v>3</v>
      </c>
      <c r="D67" s="2" t="s">
        <v>1</v>
      </c>
      <c r="E67" s="2" t="s">
        <v>5</v>
      </c>
      <c r="F67" s="3" t="s">
        <v>6</v>
      </c>
    </row>
    <row r="68" spans="2:6" ht="14" customHeight="1" x14ac:dyDescent="0.2">
      <c r="B68" s="20">
        <v>44806</v>
      </c>
      <c r="C68" s="18" t="s">
        <v>4</v>
      </c>
      <c r="D68" s="21">
        <v>1023.75</v>
      </c>
      <c r="E68" s="21">
        <v>197.75</v>
      </c>
      <c r="F68" s="22">
        <v>826</v>
      </c>
    </row>
    <row r="69" spans="2:6" ht="14" customHeight="1" x14ac:dyDescent="0.2">
      <c r="B69" s="1" t="s">
        <v>2</v>
      </c>
      <c r="C69" s="2" t="s">
        <v>3</v>
      </c>
      <c r="D69" s="2" t="s">
        <v>8</v>
      </c>
      <c r="E69" s="2" t="s">
        <v>31</v>
      </c>
      <c r="F69" s="3" t="s">
        <v>12</v>
      </c>
    </row>
    <row r="70" spans="2:6" ht="14" customHeight="1" x14ac:dyDescent="0.2">
      <c r="B70" s="20">
        <v>44798</v>
      </c>
      <c r="C70" s="18" t="s">
        <v>30</v>
      </c>
      <c r="D70" s="21">
        <v>224.03</v>
      </c>
      <c r="E70" s="18" t="s">
        <v>38</v>
      </c>
      <c r="F70" s="19" t="s">
        <v>32</v>
      </c>
    </row>
    <row r="71" spans="2:6" ht="14" customHeight="1" x14ac:dyDescent="0.2">
      <c r="B71" s="1" t="s">
        <v>2</v>
      </c>
      <c r="C71" s="2" t="s">
        <v>3</v>
      </c>
      <c r="D71" s="2" t="s">
        <v>8</v>
      </c>
      <c r="E71" s="2" t="s">
        <v>10</v>
      </c>
      <c r="F71" s="3" t="s">
        <v>35</v>
      </c>
    </row>
    <row r="72" spans="2:6" ht="14" customHeight="1" x14ac:dyDescent="0.2">
      <c r="B72" s="20">
        <v>44795</v>
      </c>
      <c r="C72" s="18" t="s">
        <v>34</v>
      </c>
      <c r="D72" s="21">
        <v>836.61</v>
      </c>
      <c r="E72" s="18" t="s">
        <v>33</v>
      </c>
      <c r="F72" s="19" t="s">
        <v>280</v>
      </c>
    </row>
    <row r="73" spans="2:6" ht="14" customHeight="1" x14ac:dyDescent="0.2">
      <c r="B73" s="1" t="s">
        <v>2</v>
      </c>
      <c r="C73" s="2" t="s">
        <v>3</v>
      </c>
      <c r="D73" s="2" t="s">
        <v>8</v>
      </c>
      <c r="E73" s="2" t="s">
        <v>10</v>
      </c>
      <c r="F73" s="3" t="s">
        <v>35</v>
      </c>
    </row>
    <row r="74" spans="2:6" ht="14" customHeight="1" x14ac:dyDescent="0.2">
      <c r="B74" s="20">
        <v>44795</v>
      </c>
      <c r="C74" s="18" t="s">
        <v>34</v>
      </c>
      <c r="D74" s="21">
        <v>600</v>
      </c>
      <c r="E74" s="18" t="s">
        <v>11</v>
      </c>
      <c r="F74" s="19" t="s">
        <v>33</v>
      </c>
    </row>
    <row r="75" spans="2:6" ht="14" customHeight="1" x14ac:dyDescent="0.2">
      <c r="B75" s="1" t="s">
        <v>2</v>
      </c>
      <c r="C75" s="2" t="s">
        <v>3</v>
      </c>
      <c r="D75" s="2" t="s">
        <v>8</v>
      </c>
      <c r="E75" s="2" t="s">
        <v>10</v>
      </c>
      <c r="F75" s="3" t="s">
        <v>270</v>
      </c>
    </row>
    <row r="76" spans="2:6" ht="14" customHeight="1" x14ac:dyDescent="0.2">
      <c r="B76" s="20">
        <v>44793</v>
      </c>
      <c r="C76" s="18" t="s">
        <v>269</v>
      </c>
      <c r="D76" s="21">
        <v>30</v>
      </c>
      <c r="E76" s="18" t="s">
        <v>11</v>
      </c>
      <c r="F76" s="19" t="s">
        <v>271</v>
      </c>
    </row>
    <row r="77" spans="2:6" ht="14" customHeight="1" x14ac:dyDescent="0.2">
      <c r="B77" s="1" t="s">
        <v>2</v>
      </c>
      <c r="C77" s="2" t="s">
        <v>3</v>
      </c>
      <c r="D77" s="2" t="s">
        <v>8</v>
      </c>
      <c r="E77" s="2" t="s">
        <v>9</v>
      </c>
      <c r="F77" s="3" t="s">
        <v>10</v>
      </c>
    </row>
    <row r="78" spans="2:6" ht="14" customHeight="1" x14ac:dyDescent="0.2">
      <c r="B78" s="20">
        <v>44792</v>
      </c>
      <c r="C78" s="18" t="s">
        <v>7</v>
      </c>
      <c r="D78" s="21">
        <v>953.61</v>
      </c>
      <c r="E78" s="18" t="s">
        <v>11</v>
      </c>
      <c r="F78" s="19" t="s">
        <v>4</v>
      </c>
    </row>
    <row r="79" spans="2:6" ht="14" customHeight="1" x14ac:dyDescent="0.2">
      <c r="B79" s="1" t="s">
        <v>2</v>
      </c>
      <c r="C79" s="2" t="s">
        <v>3</v>
      </c>
      <c r="D79" s="2" t="s">
        <v>8</v>
      </c>
      <c r="E79" s="2" t="s">
        <v>10</v>
      </c>
      <c r="F79" s="3" t="s">
        <v>35</v>
      </c>
    </row>
    <row r="80" spans="2:6" ht="14" customHeight="1" x14ac:dyDescent="0.2">
      <c r="B80" s="20">
        <v>44791</v>
      </c>
      <c r="C80" s="18" t="s">
        <v>34</v>
      </c>
      <c r="D80" s="21">
        <v>836.61</v>
      </c>
      <c r="E80" s="18" t="s">
        <v>33</v>
      </c>
      <c r="F80" s="19" t="s">
        <v>280</v>
      </c>
    </row>
    <row r="81" spans="2:6" ht="14" customHeight="1" x14ac:dyDescent="0.2">
      <c r="B81" s="1" t="s">
        <v>2</v>
      </c>
      <c r="C81" s="2" t="s">
        <v>3</v>
      </c>
      <c r="D81" s="2" t="s">
        <v>8</v>
      </c>
      <c r="E81" s="2" t="s">
        <v>10</v>
      </c>
      <c r="F81" s="3" t="s">
        <v>270</v>
      </c>
    </row>
    <row r="82" spans="2:6" ht="14" customHeight="1" x14ac:dyDescent="0.2">
      <c r="B82" s="20">
        <v>44788</v>
      </c>
      <c r="C82" s="18" t="s">
        <v>269</v>
      </c>
      <c r="D82" s="21">
        <v>30</v>
      </c>
      <c r="E82" s="18" t="s">
        <v>11</v>
      </c>
      <c r="F82" s="19" t="s">
        <v>271</v>
      </c>
    </row>
    <row r="83" spans="2:6" ht="14" customHeight="1" x14ac:dyDescent="0.2">
      <c r="B83" s="1" t="s">
        <v>2</v>
      </c>
      <c r="C83" s="2" t="s">
        <v>3</v>
      </c>
      <c r="D83" s="2" t="s">
        <v>8</v>
      </c>
      <c r="E83" s="2" t="s">
        <v>9</v>
      </c>
      <c r="F83" s="3" t="s">
        <v>10</v>
      </c>
    </row>
    <row r="84" spans="2:6" ht="14" customHeight="1" x14ac:dyDescent="0.2">
      <c r="B84" s="20">
        <v>44788</v>
      </c>
      <c r="C84" s="18" t="s">
        <v>7</v>
      </c>
      <c r="D84" s="21">
        <v>5</v>
      </c>
      <c r="E84" s="18" t="s">
        <v>11</v>
      </c>
      <c r="F84" s="19" t="s">
        <v>271</v>
      </c>
    </row>
    <row r="85" spans="2:6" ht="14" customHeight="1" x14ac:dyDescent="0.2">
      <c r="B85" s="1" t="s">
        <v>2</v>
      </c>
      <c r="C85" s="2" t="s">
        <v>3</v>
      </c>
      <c r="D85" s="2" t="s">
        <v>8</v>
      </c>
      <c r="E85" s="2" t="s">
        <v>9</v>
      </c>
      <c r="F85" s="3" t="s">
        <v>10</v>
      </c>
    </row>
    <row r="86" spans="2:6" ht="14" customHeight="1" x14ac:dyDescent="0.2">
      <c r="B86" s="20">
        <v>44788</v>
      </c>
      <c r="C86" s="18" t="s">
        <v>7</v>
      </c>
      <c r="D86" s="21">
        <v>15</v>
      </c>
      <c r="E86" s="18" t="s">
        <v>11</v>
      </c>
      <c r="F86" s="19" t="s">
        <v>271</v>
      </c>
    </row>
    <row r="87" spans="2:6" ht="14" customHeight="1" x14ac:dyDescent="0.2">
      <c r="B87" s="1" t="s">
        <v>2</v>
      </c>
      <c r="C87" s="2" t="s">
        <v>3</v>
      </c>
      <c r="D87" s="2" t="s">
        <v>8</v>
      </c>
      <c r="E87" s="2" t="s">
        <v>10</v>
      </c>
      <c r="F87" s="3" t="s">
        <v>35</v>
      </c>
    </row>
    <row r="88" spans="2:6" ht="14" customHeight="1" x14ac:dyDescent="0.2">
      <c r="B88" s="20">
        <v>44785</v>
      </c>
      <c r="C88" s="18" t="s">
        <v>34</v>
      </c>
      <c r="D88" s="21">
        <v>25</v>
      </c>
      <c r="E88" s="18" t="s">
        <v>279</v>
      </c>
      <c r="F88" s="19" t="s">
        <v>11</v>
      </c>
    </row>
    <row r="89" spans="2:6" ht="14" customHeight="1" x14ac:dyDescent="0.2">
      <c r="B89" s="1" t="s">
        <v>2</v>
      </c>
      <c r="C89" s="2" t="s">
        <v>3</v>
      </c>
      <c r="D89" s="2" t="s">
        <v>1</v>
      </c>
      <c r="E89" s="2" t="s">
        <v>5</v>
      </c>
      <c r="F89" s="3" t="s">
        <v>6</v>
      </c>
    </row>
    <row r="90" spans="2:6" ht="14" customHeight="1" x14ac:dyDescent="0.2">
      <c r="B90" s="20">
        <v>44790</v>
      </c>
      <c r="C90" s="18" t="s">
        <v>4</v>
      </c>
      <c r="D90" s="21">
        <v>1200</v>
      </c>
      <c r="E90" s="21">
        <v>246.39</v>
      </c>
      <c r="F90" s="22">
        <v>953.61</v>
      </c>
    </row>
    <row r="91" spans="2:6" ht="14" customHeight="1" x14ac:dyDescent="0.2">
      <c r="B91" s="1" t="s">
        <v>2</v>
      </c>
      <c r="C91" s="2" t="s">
        <v>3</v>
      </c>
      <c r="D91" s="2" t="s">
        <v>8</v>
      </c>
      <c r="E91" s="2" t="s">
        <v>9</v>
      </c>
      <c r="F91" s="3" t="s">
        <v>10</v>
      </c>
    </row>
    <row r="92" spans="2:6" ht="14" customHeight="1" x14ac:dyDescent="0.2">
      <c r="B92" s="20">
        <v>44781</v>
      </c>
      <c r="C92" s="18" t="s">
        <v>7</v>
      </c>
      <c r="D92" s="21">
        <v>0.02</v>
      </c>
      <c r="E92" s="18" t="s">
        <v>33</v>
      </c>
      <c r="F92" s="19" t="s">
        <v>272</v>
      </c>
    </row>
    <row r="93" spans="2:6" ht="14" customHeight="1" x14ac:dyDescent="0.2">
      <c r="B93" s="1" t="s">
        <v>2</v>
      </c>
      <c r="C93" s="2" t="s">
        <v>3</v>
      </c>
      <c r="D93" s="2" t="s">
        <v>8</v>
      </c>
      <c r="E93" s="2" t="s">
        <v>10</v>
      </c>
      <c r="F93" s="3" t="s">
        <v>35</v>
      </c>
    </row>
    <row r="94" spans="2:6" ht="14" customHeight="1" x14ac:dyDescent="0.2">
      <c r="B94" s="20">
        <v>44781</v>
      </c>
      <c r="C94" s="18" t="s">
        <v>34</v>
      </c>
      <c r="D94" s="21">
        <v>200</v>
      </c>
      <c r="E94" s="18" t="s">
        <v>11</v>
      </c>
      <c r="F94" s="19" t="s">
        <v>33</v>
      </c>
    </row>
    <row r="95" spans="2:6" ht="14" customHeight="1" x14ac:dyDescent="0.2">
      <c r="B95" s="1" t="s">
        <v>2</v>
      </c>
      <c r="C95" s="2" t="s">
        <v>3</v>
      </c>
      <c r="D95" s="2" t="s">
        <v>8</v>
      </c>
      <c r="E95" s="2" t="s">
        <v>31</v>
      </c>
      <c r="F95" s="3" t="s">
        <v>12</v>
      </c>
    </row>
    <row r="96" spans="2:6" ht="14" customHeight="1" x14ac:dyDescent="0.2">
      <c r="B96" s="20">
        <v>44781</v>
      </c>
      <c r="C96" s="18" t="s">
        <v>30</v>
      </c>
      <c r="D96" s="21">
        <v>350</v>
      </c>
      <c r="E96" s="18" t="s">
        <v>38</v>
      </c>
      <c r="F96" s="19" t="s">
        <v>32</v>
      </c>
    </row>
    <row r="97" spans="2:6" ht="14" customHeight="1" x14ac:dyDescent="0.2">
      <c r="B97" s="1" t="s">
        <v>2</v>
      </c>
      <c r="C97" s="2" t="s">
        <v>3</v>
      </c>
      <c r="D97" s="2" t="s">
        <v>8</v>
      </c>
      <c r="E97" s="2" t="s">
        <v>10</v>
      </c>
      <c r="F97" s="3" t="s">
        <v>270</v>
      </c>
    </row>
    <row r="98" spans="2:6" ht="14" customHeight="1" x14ac:dyDescent="0.2">
      <c r="B98" s="20">
        <v>44780</v>
      </c>
      <c r="C98" s="18" t="s">
        <v>269</v>
      </c>
      <c r="D98" s="21">
        <v>15</v>
      </c>
      <c r="E98" s="18" t="s">
        <v>11</v>
      </c>
      <c r="F98" s="19" t="s">
        <v>271</v>
      </c>
    </row>
    <row r="99" spans="2:6" ht="14" customHeight="1" x14ac:dyDescent="0.2">
      <c r="B99" s="1" t="s">
        <v>2</v>
      </c>
      <c r="C99" s="2" t="s">
        <v>3</v>
      </c>
      <c r="D99" s="2" t="s">
        <v>8</v>
      </c>
      <c r="E99" s="2" t="s">
        <v>9</v>
      </c>
      <c r="F99" s="3" t="s">
        <v>10</v>
      </c>
    </row>
    <row r="100" spans="2:6" ht="14" customHeight="1" x14ac:dyDescent="0.2">
      <c r="B100" s="20">
        <v>44778</v>
      </c>
      <c r="C100" s="18" t="s">
        <v>7</v>
      </c>
      <c r="D100" s="21">
        <v>593.36</v>
      </c>
      <c r="E100" s="18" t="s">
        <v>11</v>
      </c>
      <c r="F100" s="19" t="s">
        <v>4</v>
      </c>
    </row>
    <row r="101" spans="2:6" ht="14" customHeight="1" x14ac:dyDescent="0.2">
      <c r="B101" s="1" t="s">
        <v>2</v>
      </c>
      <c r="C101" s="2" t="s">
        <v>3</v>
      </c>
      <c r="D101" s="2" t="s">
        <v>8</v>
      </c>
      <c r="E101" s="2" t="s">
        <v>10</v>
      </c>
      <c r="F101" s="3" t="s">
        <v>35</v>
      </c>
    </row>
    <row r="102" spans="2:6" ht="14" customHeight="1" x14ac:dyDescent="0.2">
      <c r="B102" s="20">
        <v>44776</v>
      </c>
      <c r="C102" s="18" t="s">
        <v>34</v>
      </c>
      <c r="D102" s="21">
        <v>100</v>
      </c>
      <c r="E102" s="18" t="s">
        <v>11</v>
      </c>
      <c r="F102" s="19" t="s">
        <v>52</v>
      </c>
    </row>
    <row r="103" spans="2:6" ht="14" customHeight="1" x14ac:dyDescent="0.2">
      <c r="B103" s="1" t="s">
        <v>2</v>
      </c>
      <c r="C103" s="2" t="s">
        <v>3</v>
      </c>
      <c r="D103" s="2" t="s">
        <v>1</v>
      </c>
      <c r="E103" s="2" t="s">
        <v>5</v>
      </c>
      <c r="F103" s="3" t="s">
        <v>6</v>
      </c>
    </row>
    <row r="104" spans="2:6" ht="14" customHeight="1" x14ac:dyDescent="0.2">
      <c r="B104" s="20">
        <v>44778</v>
      </c>
      <c r="C104" s="18" t="s">
        <v>4</v>
      </c>
      <c r="D104" s="21">
        <v>707.55</v>
      </c>
      <c r="E104" s="21">
        <v>114.19</v>
      </c>
      <c r="F104" s="22">
        <v>593.36</v>
      </c>
    </row>
    <row r="105" spans="2:6" ht="14" customHeight="1" x14ac:dyDescent="0.2">
      <c r="B105" s="1" t="s">
        <v>2</v>
      </c>
      <c r="C105" s="2" t="s">
        <v>3</v>
      </c>
      <c r="D105" s="2" t="s">
        <v>8</v>
      </c>
      <c r="E105" s="2" t="s">
        <v>10</v>
      </c>
      <c r="F105" s="3" t="s">
        <v>270</v>
      </c>
    </row>
    <row r="106" spans="2:6" ht="14" customHeight="1" x14ac:dyDescent="0.2">
      <c r="B106" s="20">
        <v>44771</v>
      </c>
      <c r="C106" s="18" t="s">
        <v>269</v>
      </c>
      <c r="D106" s="21">
        <v>7</v>
      </c>
      <c r="E106" s="18" t="s">
        <v>11</v>
      </c>
      <c r="F106" s="19" t="s">
        <v>271</v>
      </c>
    </row>
    <row r="107" spans="2:6" ht="14" customHeight="1" x14ac:dyDescent="0.2">
      <c r="B107" s="1" t="s">
        <v>2</v>
      </c>
      <c r="C107" s="2" t="s">
        <v>3</v>
      </c>
      <c r="D107" s="2" t="s">
        <v>8</v>
      </c>
      <c r="E107" s="2" t="s">
        <v>9</v>
      </c>
      <c r="F107" s="3" t="s">
        <v>10</v>
      </c>
    </row>
    <row r="108" spans="2:6" ht="14" customHeight="1" x14ac:dyDescent="0.2">
      <c r="B108" s="20">
        <v>44771</v>
      </c>
      <c r="C108" s="18" t="s">
        <v>7</v>
      </c>
      <c r="D108" s="21">
        <v>26.06</v>
      </c>
      <c r="E108" s="18" t="s">
        <v>11</v>
      </c>
      <c r="F108" s="19" t="s">
        <v>268</v>
      </c>
    </row>
    <row r="109" spans="2:6" ht="14" customHeight="1" x14ac:dyDescent="0.2">
      <c r="B109" s="1" t="s">
        <v>2</v>
      </c>
      <c r="C109" s="2" t="s">
        <v>3</v>
      </c>
      <c r="D109" s="2" t="s">
        <v>8</v>
      </c>
      <c r="E109" s="2" t="s">
        <v>10</v>
      </c>
      <c r="F109" s="3" t="s">
        <v>35</v>
      </c>
    </row>
    <row r="110" spans="2:6" ht="14" customHeight="1" x14ac:dyDescent="0.2">
      <c r="B110" s="20">
        <v>44767</v>
      </c>
      <c r="C110" s="18" t="s">
        <v>34</v>
      </c>
      <c r="D110" s="21">
        <v>150</v>
      </c>
      <c r="E110" s="18" t="s">
        <v>11</v>
      </c>
      <c r="F110" s="19" t="s">
        <v>52</v>
      </c>
    </row>
    <row r="111" spans="2:6" ht="14" customHeight="1" x14ac:dyDescent="0.2">
      <c r="B111" s="1" t="s">
        <v>2</v>
      </c>
      <c r="C111" s="2" t="s">
        <v>3</v>
      </c>
      <c r="D111" s="2" t="s">
        <v>8</v>
      </c>
      <c r="E111" s="2" t="s">
        <v>31</v>
      </c>
      <c r="F111" s="3" t="s">
        <v>12</v>
      </c>
    </row>
    <row r="112" spans="2:6" ht="14" customHeight="1" x14ac:dyDescent="0.2">
      <c r="B112" s="20">
        <v>44767</v>
      </c>
      <c r="C112" s="18" t="s">
        <v>30</v>
      </c>
      <c r="D112" s="21">
        <v>329.95</v>
      </c>
      <c r="E112" s="18" t="s">
        <v>38</v>
      </c>
      <c r="F112" s="19" t="s">
        <v>32</v>
      </c>
    </row>
    <row r="113" spans="2:6" ht="14" customHeight="1" x14ac:dyDescent="0.2">
      <c r="B113" s="1" t="s">
        <v>2</v>
      </c>
      <c r="C113" s="2" t="s">
        <v>3</v>
      </c>
      <c r="D113" s="2" t="s">
        <v>8</v>
      </c>
      <c r="E113" s="2" t="s">
        <v>9</v>
      </c>
      <c r="F113" s="3" t="s">
        <v>10</v>
      </c>
    </row>
    <row r="114" spans="2:6" ht="14" customHeight="1" x14ac:dyDescent="0.2">
      <c r="B114" s="20">
        <v>44764</v>
      </c>
      <c r="C114" s="18" t="s">
        <v>7</v>
      </c>
      <c r="D114" s="21">
        <v>562.66999999999996</v>
      </c>
      <c r="E114" s="18" t="s">
        <v>11</v>
      </c>
      <c r="F114" s="19" t="s">
        <v>4</v>
      </c>
    </row>
    <row r="115" spans="2:6" ht="14" customHeight="1" x14ac:dyDescent="0.2">
      <c r="B115" s="1" t="s">
        <v>2</v>
      </c>
      <c r="C115" s="2" t="s">
        <v>3</v>
      </c>
      <c r="D115" s="2" t="s">
        <v>8</v>
      </c>
      <c r="E115" s="2" t="s">
        <v>9</v>
      </c>
      <c r="F115" s="3" t="s">
        <v>10</v>
      </c>
    </row>
    <row r="116" spans="2:6" ht="14" customHeight="1" x14ac:dyDescent="0.2">
      <c r="B116" s="20">
        <v>44763</v>
      </c>
      <c r="C116" s="18" t="s">
        <v>7</v>
      </c>
      <c r="D116" s="21">
        <v>0.28000000000000003</v>
      </c>
      <c r="E116" s="18" t="s">
        <v>11</v>
      </c>
      <c r="F116" s="19" t="s">
        <v>266</v>
      </c>
    </row>
    <row r="117" spans="2:6" ht="14" customHeight="1" x14ac:dyDescent="0.2">
      <c r="B117" s="1" t="s">
        <v>2</v>
      </c>
      <c r="C117" s="2" t="s">
        <v>3</v>
      </c>
      <c r="D117" s="2" t="s">
        <v>8</v>
      </c>
      <c r="E117" s="2" t="s">
        <v>9</v>
      </c>
      <c r="F117" s="3" t="s">
        <v>10</v>
      </c>
    </row>
    <row r="118" spans="2:6" ht="14" customHeight="1" x14ac:dyDescent="0.2">
      <c r="B118" s="20">
        <v>44763</v>
      </c>
      <c r="C118" s="18" t="s">
        <v>7</v>
      </c>
      <c r="D118" s="21">
        <v>75</v>
      </c>
      <c r="E118" s="18" t="s">
        <v>11</v>
      </c>
      <c r="F118" s="19" t="s">
        <v>265</v>
      </c>
    </row>
    <row r="119" spans="2:6" ht="14" customHeight="1" x14ac:dyDescent="0.2">
      <c r="B119" s="1" t="s">
        <v>2</v>
      </c>
      <c r="C119" s="2" t="s">
        <v>3</v>
      </c>
      <c r="D119" s="2" t="s">
        <v>8</v>
      </c>
      <c r="E119" s="2" t="s">
        <v>31</v>
      </c>
      <c r="F119" s="3" t="s">
        <v>12</v>
      </c>
    </row>
    <row r="120" spans="2:6" ht="14" customHeight="1" x14ac:dyDescent="0.2">
      <c r="B120" s="20">
        <v>44763</v>
      </c>
      <c r="C120" s="18" t="s">
        <v>30</v>
      </c>
      <c r="D120" s="21">
        <v>71.37</v>
      </c>
      <c r="E120" s="18" t="s">
        <v>264</v>
      </c>
      <c r="F120" s="19" t="s">
        <v>263</v>
      </c>
    </row>
    <row r="121" spans="2:6" ht="14" customHeight="1" x14ac:dyDescent="0.2">
      <c r="B121" s="1" t="s">
        <v>2</v>
      </c>
      <c r="C121" s="2" t="s">
        <v>3</v>
      </c>
      <c r="D121" s="2" t="s">
        <v>1</v>
      </c>
      <c r="E121" s="2" t="s">
        <v>5</v>
      </c>
      <c r="F121" s="3" t="s">
        <v>6</v>
      </c>
    </row>
    <row r="122" spans="2:6" ht="14" customHeight="1" x14ac:dyDescent="0.2">
      <c r="B122" s="20">
        <v>44764</v>
      </c>
      <c r="C122" s="18" t="s">
        <v>4</v>
      </c>
      <c r="D122" s="21">
        <v>666.3</v>
      </c>
      <c r="E122" s="21">
        <v>103.63</v>
      </c>
      <c r="F122" s="22">
        <v>562.66999999999996</v>
      </c>
    </row>
    <row r="123" spans="2:6" x14ac:dyDescent="0.2">
      <c r="B123" s="1" t="s">
        <v>2</v>
      </c>
      <c r="C123" s="2" t="s">
        <v>3</v>
      </c>
      <c r="D123" s="2" t="s">
        <v>8</v>
      </c>
      <c r="E123" s="2" t="s">
        <v>31</v>
      </c>
      <c r="F123" s="3" t="s">
        <v>12</v>
      </c>
    </row>
    <row r="124" spans="2:6" x14ac:dyDescent="0.2">
      <c r="B124" s="20">
        <v>44760</v>
      </c>
      <c r="C124" s="18" t="s">
        <v>30</v>
      </c>
      <c r="D124" s="21">
        <v>200</v>
      </c>
      <c r="E124" s="18" t="s">
        <v>38</v>
      </c>
      <c r="F124" s="19" t="s">
        <v>32</v>
      </c>
    </row>
    <row r="125" spans="2:6" x14ac:dyDescent="0.2">
      <c r="B125" s="1" t="s">
        <v>2</v>
      </c>
      <c r="C125" s="2" t="s">
        <v>3</v>
      </c>
      <c r="D125" s="2" t="s">
        <v>8</v>
      </c>
      <c r="E125" s="2" t="s">
        <v>31</v>
      </c>
      <c r="F125" s="3" t="s">
        <v>12</v>
      </c>
    </row>
    <row r="126" spans="2:6" x14ac:dyDescent="0.2">
      <c r="B126" s="20">
        <v>44753</v>
      </c>
      <c r="C126" s="18" t="s">
        <v>30</v>
      </c>
      <c r="D126" s="21">
        <v>339.2</v>
      </c>
      <c r="E126" s="18" t="s">
        <v>38</v>
      </c>
      <c r="F126" s="19" t="s">
        <v>32</v>
      </c>
    </row>
    <row r="127" spans="2:6" x14ac:dyDescent="0.2">
      <c r="B127" s="1" t="s">
        <v>2</v>
      </c>
      <c r="C127" s="2" t="s">
        <v>3</v>
      </c>
      <c r="D127" s="2" t="s">
        <v>8</v>
      </c>
      <c r="E127" s="2" t="s">
        <v>10</v>
      </c>
      <c r="F127" s="3" t="s">
        <v>35</v>
      </c>
    </row>
    <row r="128" spans="2:6" x14ac:dyDescent="0.2">
      <c r="B128" s="20">
        <v>44753</v>
      </c>
      <c r="C128" s="18" t="s">
        <v>34</v>
      </c>
      <c r="D128" s="21">
        <v>120</v>
      </c>
      <c r="E128" s="18" t="s">
        <v>11</v>
      </c>
      <c r="F128" s="19" t="s">
        <v>36</v>
      </c>
    </row>
    <row r="129" spans="2:6" x14ac:dyDescent="0.2">
      <c r="B129" s="1" t="s">
        <v>2</v>
      </c>
      <c r="C129" s="2" t="s">
        <v>3</v>
      </c>
      <c r="D129" s="2" t="s">
        <v>8</v>
      </c>
      <c r="E129" s="2" t="s">
        <v>10</v>
      </c>
      <c r="F129" s="3" t="s">
        <v>35</v>
      </c>
    </row>
    <row r="130" spans="2:6" x14ac:dyDescent="0.2">
      <c r="B130" s="20">
        <v>44753</v>
      </c>
      <c r="C130" s="18" t="s">
        <v>34</v>
      </c>
      <c r="D130" s="21">
        <v>150</v>
      </c>
      <c r="E130" s="18" t="s">
        <v>11</v>
      </c>
      <c r="F130" s="19" t="s">
        <v>33</v>
      </c>
    </row>
    <row r="131" spans="2:6" x14ac:dyDescent="0.2">
      <c r="B131" s="1" t="s">
        <v>2</v>
      </c>
      <c r="C131" s="2" t="s">
        <v>3</v>
      </c>
      <c r="D131" s="2" t="s">
        <v>8</v>
      </c>
      <c r="E131" s="2" t="s">
        <v>31</v>
      </c>
      <c r="F131" s="3" t="s">
        <v>12</v>
      </c>
    </row>
    <row r="132" spans="2:6" x14ac:dyDescent="0.2">
      <c r="B132" s="20">
        <v>44750</v>
      </c>
      <c r="C132" s="18" t="s">
        <v>30</v>
      </c>
      <c r="D132" s="21">
        <v>200</v>
      </c>
      <c r="E132" s="18" t="s">
        <v>38</v>
      </c>
      <c r="F132" s="19" t="s">
        <v>32</v>
      </c>
    </row>
    <row r="133" spans="2:6" x14ac:dyDescent="0.2">
      <c r="B133" s="1" t="s">
        <v>2</v>
      </c>
      <c r="C133" s="2" t="s">
        <v>3</v>
      </c>
      <c r="D133" s="2" t="s">
        <v>8</v>
      </c>
      <c r="E133" s="2" t="s">
        <v>9</v>
      </c>
      <c r="F133" s="3" t="s">
        <v>10</v>
      </c>
    </row>
    <row r="134" spans="2:6" x14ac:dyDescent="0.2">
      <c r="B134" s="20">
        <v>44750</v>
      </c>
      <c r="C134" s="18" t="s">
        <v>7</v>
      </c>
      <c r="D134" s="21">
        <v>776.26</v>
      </c>
      <c r="E134" s="18" t="s">
        <v>11</v>
      </c>
      <c r="F134" s="19" t="s">
        <v>4</v>
      </c>
    </row>
    <row r="135" spans="2:6" x14ac:dyDescent="0.2">
      <c r="B135" s="1" t="s">
        <v>2</v>
      </c>
      <c r="C135" s="2" t="s">
        <v>3</v>
      </c>
      <c r="D135" s="2" t="s">
        <v>1</v>
      </c>
      <c r="E135" s="2" t="s">
        <v>5</v>
      </c>
      <c r="F135" s="3" t="s">
        <v>6</v>
      </c>
    </row>
    <row r="136" spans="2:6" x14ac:dyDescent="0.2">
      <c r="B136" s="20">
        <v>44750</v>
      </c>
      <c r="C136" s="18" t="s">
        <v>4</v>
      </c>
      <c r="D136" s="21">
        <v>955.05</v>
      </c>
      <c r="E136" s="21">
        <v>178.79</v>
      </c>
      <c r="F136" s="22">
        <v>776.26</v>
      </c>
    </row>
    <row r="137" spans="2:6" x14ac:dyDescent="0.2">
      <c r="B137" s="1" t="s">
        <v>2</v>
      </c>
      <c r="C137" s="2" t="s">
        <v>3</v>
      </c>
      <c r="D137" s="2" t="s">
        <v>8</v>
      </c>
      <c r="E137" s="2" t="s">
        <v>10</v>
      </c>
      <c r="F137" s="3" t="s">
        <v>35</v>
      </c>
    </row>
    <row r="138" spans="2:6" x14ac:dyDescent="0.2">
      <c r="B138" s="20">
        <v>44743</v>
      </c>
      <c r="C138" s="18" t="s">
        <v>34</v>
      </c>
      <c r="D138" s="21">
        <v>780</v>
      </c>
      <c r="E138" s="18" t="s">
        <v>37</v>
      </c>
      <c r="F138" s="19" t="s">
        <v>52</v>
      </c>
    </row>
    <row r="139" spans="2:6" x14ac:dyDescent="0.2">
      <c r="B139" s="1" t="s">
        <v>2</v>
      </c>
      <c r="C139" s="2" t="s">
        <v>3</v>
      </c>
      <c r="D139" s="2" t="s">
        <v>8</v>
      </c>
      <c r="E139" s="2" t="s">
        <v>10</v>
      </c>
      <c r="F139" s="3" t="s">
        <v>35</v>
      </c>
    </row>
    <row r="140" spans="2:6" x14ac:dyDescent="0.2">
      <c r="B140" s="20">
        <v>44743</v>
      </c>
      <c r="C140" s="18" t="s">
        <v>34</v>
      </c>
      <c r="D140" s="21">
        <v>400</v>
      </c>
      <c r="E140" s="18" t="s">
        <v>37</v>
      </c>
      <c r="F140" s="19" t="s">
        <v>36</v>
      </c>
    </row>
    <row r="141" spans="2:6" x14ac:dyDescent="0.2">
      <c r="B141" s="1" t="s">
        <v>2</v>
      </c>
      <c r="C141" s="2" t="s">
        <v>3</v>
      </c>
      <c r="D141" s="2" t="s">
        <v>8</v>
      </c>
      <c r="E141" s="2" t="s">
        <v>9</v>
      </c>
      <c r="F141" s="3" t="s">
        <v>10</v>
      </c>
    </row>
    <row r="142" spans="2:6" x14ac:dyDescent="0.2">
      <c r="B142" s="20">
        <v>44743</v>
      </c>
      <c r="C142" s="18" t="s">
        <v>7</v>
      </c>
      <c r="D142" s="21">
        <v>881.44</v>
      </c>
      <c r="E142" s="18" t="s">
        <v>33</v>
      </c>
      <c r="F142" s="19" t="s">
        <v>37</v>
      </c>
    </row>
    <row r="143" spans="2:6" x14ac:dyDescent="0.2">
      <c r="B143" s="1" t="s">
        <v>2</v>
      </c>
      <c r="C143" s="2" t="s">
        <v>3</v>
      </c>
      <c r="D143" s="2" t="s">
        <v>8</v>
      </c>
      <c r="E143" s="2" t="s">
        <v>9</v>
      </c>
      <c r="F143" s="3" t="s">
        <v>10</v>
      </c>
    </row>
    <row r="144" spans="2:6" x14ac:dyDescent="0.2">
      <c r="B144" s="20">
        <v>44743</v>
      </c>
      <c r="C144" s="18" t="s">
        <v>7</v>
      </c>
      <c r="D144" s="21">
        <v>305.89</v>
      </c>
      <c r="E144" s="18" t="s">
        <v>11</v>
      </c>
      <c r="F144" s="19" t="s">
        <v>37</v>
      </c>
    </row>
    <row r="145" spans="2:6" x14ac:dyDescent="0.2">
      <c r="B145" s="1" t="s">
        <v>2</v>
      </c>
      <c r="C145" s="2" t="s">
        <v>3</v>
      </c>
      <c r="D145" s="2" t="s">
        <v>1</v>
      </c>
      <c r="E145" s="2" t="s">
        <v>5</v>
      </c>
      <c r="F145" s="3" t="s">
        <v>6</v>
      </c>
    </row>
    <row r="146" spans="2:6" x14ac:dyDescent="0.2">
      <c r="B146" s="20">
        <v>44736</v>
      </c>
      <c r="C146" s="18" t="s">
        <v>4</v>
      </c>
      <c r="D146" s="21">
        <v>585</v>
      </c>
      <c r="E146" s="21">
        <v>83.18</v>
      </c>
      <c r="F146" s="22">
        <v>501.82</v>
      </c>
    </row>
  </sheetData>
  <sheetProtection selectLockedCells="1" selectUnlockedCells="1"/>
  <autoFilter ref="B6:F146" xr:uid="{2D9E69A2-9E7B-4470-9EB8-CCFE94F05442}"/>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5A548-7291-4263-A2D3-7522155DCAC3}">
  <sheetPr codeName="Sheet5"/>
  <dimension ref="A1:G101"/>
  <sheetViews>
    <sheetView workbookViewId="0">
      <selection activeCell="I41" sqref="I41"/>
    </sheetView>
  </sheetViews>
  <sheetFormatPr baseColWidth="10" defaultColWidth="8.83203125" defaultRowHeight="15" x14ac:dyDescent="0.2"/>
  <cols>
    <col min="1" max="1" width="6.5" bestFit="1" customWidth="1"/>
    <col min="2" max="2" width="19" bestFit="1" customWidth="1"/>
    <col min="3" max="3" width="11.83203125" bestFit="1" customWidth="1"/>
    <col min="4" max="4" width="12.1640625" bestFit="1" customWidth="1"/>
    <col min="5" max="5" width="9" bestFit="1" customWidth="1"/>
    <col min="6" max="6" width="12.1640625" bestFit="1" customWidth="1"/>
    <col min="7" max="7" width="12.6640625" bestFit="1" customWidth="1"/>
  </cols>
  <sheetData>
    <row r="1" spans="1:7" x14ac:dyDescent="0.2">
      <c r="A1" t="s">
        <v>80</v>
      </c>
      <c r="B1" t="s">
        <v>79</v>
      </c>
      <c r="C1" t="s">
        <v>81</v>
      </c>
      <c r="D1" t="s">
        <v>82</v>
      </c>
      <c r="E1" t="s">
        <v>83</v>
      </c>
      <c r="F1" t="s">
        <v>84</v>
      </c>
      <c r="G1" t="s">
        <v>85</v>
      </c>
    </row>
    <row r="2" spans="1:7" x14ac:dyDescent="0.2">
      <c r="A2" t="s">
        <v>73</v>
      </c>
      <c r="B2" t="s">
        <v>86</v>
      </c>
      <c r="C2">
        <v>19150.04</v>
      </c>
      <c r="D2">
        <v>367758328252</v>
      </c>
      <c r="E2">
        <v>1</v>
      </c>
      <c r="F2">
        <v>23885859222</v>
      </c>
      <c r="G2">
        <v>4.22</v>
      </c>
    </row>
    <row r="3" spans="1:7" x14ac:dyDescent="0.2">
      <c r="A3" t="s">
        <v>169</v>
      </c>
      <c r="B3" t="s">
        <v>87</v>
      </c>
      <c r="C3">
        <v>1287.6300000000001</v>
      </c>
      <c r="D3">
        <v>155276299931</v>
      </c>
      <c r="E3">
        <v>2</v>
      </c>
      <c r="F3">
        <v>8537166485</v>
      </c>
      <c r="G3">
        <v>-7.6684755397566278</v>
      </c>
    </row>
    <row r="4" spans="1:7" x14ac:dyDescent="0.2">
      <c r="A4" t="s">
        <v>170</v>
      </c>
      <c r="B4" t="s">
        <v>88</v>
      </c>
      <c r="C4">
        <v>0.99992499999999995</v>
      </c>
      <c r="D4">
        <v>68511013780</v>
      </c>
      <c r="E4">
        <v>3</v>
      </c>
      <c r="F4">
        <v>30838332930</v>
      </c>
      <c r="G4">
        <v>-6.8346486449822005E-5</v>
      </c>
    </row>
    <row r="5" spans="1:7" x14ac:dyDescent="0.2">
      <c r="A5" t="s">
        <v>172</v>
      </c>
      <c r="B5" t="s">
        <v>90</v>
      </c>
      <c r="C5">
        <v>270.77999999999997</v>
      </c>
      <c r="D5">
        <v>44261240791</v>
      </c>
      <c r="E5">
        <v>4</v>
      </c>
      <c r="F5">
        <v>472867596</v>
      </c>
      <c r="G5">
        <v>-1.6331575520651995</v>
      </c>
    </row>
    <row r="6" spans="1:7" x14ac:dyDescent="0.2">
      <c r="A6" t="s">
        <v>171</v>
      </c>
      <c r="B6" t="s">
        <v>89</v>
      </c>
      <c r="C6">
        <v>1.0009999999999999</v>
      </c>
      <c r="D6">
        <v>44184436008</v>
      </c>
      <c r="E6">
        <v>5</v>
      </c>
      <c r="F6">
        <v>2551148917</v>
      </c>
      <c r="G6">
        <v>3.8326000000000001E-4</v>
      </c>
    </row>
    <row r="7" spans="1:7" x14ac:dyDescent="0.2">
      <c r="A7" t="s">
        <v>174</v>
      </c>
      <c r="B7" t="s">
        <v>92</v>
      </c>
      <c r="C7">
        <v>0.45450499999999999</v>
      </c>
      <c r="D7">
        <v>22695317481</v>
      </c>
      <c r="E7">
        <v>6</v>
      </c>
      <c r="F7">
        <v>1434147195</v>
      </c>
      <c r="G7">
        <v>-3.0896450079697661E-3</v>
      </c>
    </row>
    <row r="8" spans="1:7" x14ac:dyDescent="0.2">
      <c r="A8" t="s">
        <v>173</v>
      </c>
      <c r="B8" t="s">
        <v>91</v>
      </c>
      <c r="C8">
        <v>1</v>
      </c>
      <c r="D8">
        <v>21746710525</v>
      </c>
      <c r="E8">
        <v>7</v>
      </c>
      <c r="F8">
        <v>5768344180</v>
      </c>
      <c r="G8">
        <v>1.23409E-3</v>
      </c>
    </row>
    <row r="9" spans="1:7" x14ac:dyDescent="0.2">
      <c r="A9" t="s">
        <v>175</v>
      </c>
      <c r="B9" t="s">
        <v>93</v>
      </c>
      <c r="C9">
        <v>0.34929900000000003</v>
      </c>
      <c r="D9">
        <v>11824337913</v>
      </c>
      <c r="E9">
        <v>8</v>
      </c>
      <c r="F9">
        <v>391650064</v>
      </c>
      <c r="G9">
        <v>-7.7786896589606153E-3</v>
      </c>
    </row>
    <row r="10" spans="1:7" x14ac:dyDescent="0.2">
      <c r="A10" t="s">
        <v>176</v>
      </c>
      <c r="B10" t="s">
        <v>94</v>
      </c>
      <c r="C10">
        <v>28.78</v>
      </c>
      <c r="D10">
        <v>10319098033</v>
      </c>
      <c r="E10">
        <v>9</v>
      </c>
      <c r="F10">
        <v>809548126</v>
      </c>
      <c r="G10">
        <v>-0.92244250276666762</v>
      </c>
    </row>
    <row r="11" spans="1:7" x14ac:dyDescent="0.2">
      <c r="A11" t="s">
        <v>177</v>
      </c>
      <c r="B11" t="s">
        <v>95</v>
      </c>
      <c r="C11">
        <v>5.9951999999999998E-2</v>
      </c>
      <c r="D11">
        <v>8178940112</v>
      </c>
      <c r="E11">
        <v>10</v>
      </c>
      <c r="F11">
        <v>312623461</v>
      </c>
      <c r="G11">
        <v>9.079E-4</v>
      </c>
    </row>
    <row r="12" spans="1:7" x14ac:dyDescent="0.2">
      <c r="A12" t="s">
        <v>178</v>
      </c>
      <c r="B12" t="s">
        <v>96</v>
      </c>
      <c r="C12">
        <v>6.08</v>
      </c>
      <c r="D12">
        <v>7072211483</v>
      </c>
      <c r="E12">
        <v>11</v>
      </c>
      <c r="F12">
        <v>228801414</v>
      </c>
      <c r="G12">
        <v>-0.11629185562598288</v>
      </c>
    </row>
    <row r="13" spans="1:7" x14ac:dyDescent="0.2">
      <c r="A13" t="s">
        <v>182</v>
      </c>
      <c r="B13" t="s">
        <v>99</v>
      </c>
      <c r="C13">
        <v>0.82805899999999999</v>
      </c>
      <c r="D13">
        <v>6165371244</v>
      </c>
      <c r="E13">
        <v>12</v>
      </c>
      <c r="F13">
        <v>444171994</v>
      </c>
      <c r="G13">
        <v>-3.976452650406459E-2</v>
      </c>
    </row>
    <row r="14" spans="1:7" x14ac:dyDescent="0.2">
      <c r="A14" t="s">
        <v>179</v>
      </c>
      <c r="B14" t="s">
        <v>97</v>
      </c>
      <c r="C14">
        <v>1.0030000000000001E-5</v>
      </c>
      <c r="D14">
        <v>5914218834</v>
      </c>
      <c r="E14">
        <v>13</v>
      </c>
      <c r="F14">
        <v>194436741</v>
      </c>
      <c r="G14">
        <v>-6.4739153283000002E-8</v>
      </c>
    </row>
    <row r="15" spans="1:7" x14ac:dyDescent="0.2">
      <c r="A15" t="s">
        <v>181</v>
      </c>
      <c r="B15" t="s">
        <v>100</v>
      </c>
      <c r="C15">
        <v>1.0009999999999999</v>
      </c>
      <c r="D15">
        <v>5817705125</v>
      </c>
      <c r="E15">
        <v>14</v>
      </c>
      <c r="F15">
        <v>213425405</v>
      </c>
      <c r="G15">
        <v>4.6268999999999998E-4</v>
      </c>
    </row>
    <row r="16" spans="1:7" x14ac:dyDescent="0.2">
      <c r="A16" t="s">
        <v>184</v>
      </c>
      <c r="B16" t="s">
        <v>102</v>
      </c>
      <c r="C16">
        <v>6.2557000000000001E-2</v>
      </c>
      <c r="D16">
        <v>5777719571</v>
      </c>
      <c r="E16">
        <v>15</v>
      </c>
      <c r="F16">
        <v>279622904</v>
      </c>
      <c r="G16">
        <v>1.6652999999999999E-4</v>
      </c>
    </row>
    <row r="17" spans="1:7" x14ac:dyDescent="0.2">
      <c r="A17" t="s">
        <v>183</v>
      </c>
      <c r="B17" t="s">
        <v>101</v>
      </c>
      <c r="C17">
        <v>1284.17</v>
      </c>
      <c r="D17">
        <v>5721102131</v>
      </c>
      <c r="E17">
        <v>16</v>
      </c>
      <c r="F17">
        <v>39193294</v>
      </c>
      <c r="G17">
        <v>-7.1219656730886527</v>
      </c>
    </row>
    <row r="18" spans="1:7" x14ac:dyDescent="0.2">
      <c r="A18" t="s">
        <v>194</v>
      </c>
      <c r="B18" t="s">
        <v>112</v>
      </c>
      <c r="C18">
        <v>6.26</v>
      </c>
      <c r="D18">
        <v>4729955695</v>
      </c>
      <c r="E18">
        <v>17</v>
      </c>
      <c r="F18">
        <v>155372595</v>
      </c>
      <c r="G18">
        <v>-0.44982215355098371</v>
      </c>
    </row>
    <row r="19" spans="1:7" x14ac:dyDescent="0.2">
      <c r="A19" t="s">
        <v>185</v>
      </c>
      <c r="B19" t="s">
        <v>103</v>
      </c>
      <c r="C19">
        <v>19149.97</v>
      </c>
      <c r="D19">
        <v>4694790192</v>
      </c>
      <c r="E19">
        <v>18</v>
      </c>
      <c r="F19">
        <v>163790045</v>
      </c>
      <c r="G19">
        <v>30.54</v>
      </c>
    </row>
    <row r="20" spans="1:7" x14ac:dyDescent="0.2">
      <c r="A20" t="s">
        <v>180</v>
      </c>
      <c r="B20" t="s">
        <v>98</v>
      </c>
      <c r="C20">
        <v>15.13</v>
      </c>
      <c r="D20">
        <v>4491267850</v>
      </c>
      <c r="E20">
        <v>19</v>
      </c>
      <c r="F20">
        <v>228610216</v>
      </c>
      <c r="G20">
        <v>-0.3702290093962155</v>
      </c>
    </row>
    <row r="21" spans="1:7" x14ac:dyDescent="0.2">
      <c r="A21" t="s">
        <v>189</v>
      </c>
      <c r="B21" t="s">
        <v>107</v>
      </c>
      <c r="C21">
        <v>15.78</v>
      </c>
      <c r="D21">
        <v>3971311585</v>
      </c>
      <c r="E21">
        <v>20</v>
      </c>
      <c r="F21">
        <v>25805616</v>
      </c>
      <c r="G21">
        <v>-0.67612071754965264</v>
      </c>
    </row>
    <row r="22" spans="1:7" x14ac:dyDescent="0.2">
      <c r="A22" t="s">
        <v>186</v>
      </c>
      <c r="B22" t="s">
        <v>104</v>
      </c>
      <c r="C22">
        <v>4.09</v>
      </c>
      <c r="D22">
        <v>3821216204</v>
      </c>
      <c r="E22">
        <v>21</v>
      </c>
      <c r="F22">
        <v>2242022</v>
      </c>
      <c r="G22">
        <v>-0.20817407019040779</v>
      </c>
    </row>
    <row r="23" spans="1:7" x14ac:dyDescent="0.2">
      <c r="A23" t="s">
        <v>187</v>
      </c>
      <c r="B23" t="s">
        <v>105</v>
      </c>
      <c r="C23">
        <v>51.55</v>
      </c>
      <c r="D23">
        <v>3685173213</v>
      </c>
      <c r="E23">
        <v>22</v>
      </c>
      <c r="F23">
        <v>223596686</v>
      </c>
      <c r="G23">
        <v>0.24526700000000001</v>
      </c>
    </row>
    <row r="24" spans="1:7" x14ac:dyDescent="0.2">
      <c r="A24" t="s">
        <v>196</v>
      </c>
      <c r="B24" t="s">
        <v>114</v>
      </c>
      <c r="C24">
        <v>11.67</v>
      </c>
      <c r="D24">
        <v>3414787186</v>
      </c>
      <c r="E24">
        <v>23</v>
      </c>
      <c r="F24">
        <v>202151553</v>
      </c>
      <c r="G24">
        <v>-0.5636509542677981</v>
      </c>
    </row>
    <row r="25" spans="1:7" x14ac:dyDescent="0.2">
      <c r="A25" t="s">
        <v>191</v>
      </c>
      <c r="B25" t="s">
        <v>109</v>
      </c>
      <c r="C25">
        <v>6.77</v>
      </c>
      <c r="D25">
        <v>3327352961</v>
      </c>
      <c r="E25">
        <v>24</v>
      </c>
      <c r="F25">
        <v>313339914</v>
      </c>
      <c r="G25">
        <v>-0.16968259626139923</v>
      </c>
    </row>
    <row r="26" spans="1:7" x14ac:dyDescent="0.2">
      <c r="A26" t="s">
        <v>192</v>
      </c>
      <c r="B26" t="s">
        <v>110</v>
      </c>
      <c r="C26">
        <v>22.39</v>
      </c>
      <c r="D26">
        <v>3083266316</v>
      </c>
      <c r="E26">
        <v>25</v>
      </c>
      <c r="F26">
        <v>190510897</v>
      </c>
      <c r="G26">
        <v>-0.45506407152455708</v>
      </c>
    </row>
    <row r="27" spans="1:7" x14ac:dyDescent="0.2">
      <c r="A27" t="s">
        <v>188</v>
      </c>
      <c r="B27" t="s">
        <v>106</v>
      </c>
      <c r="C27">
        <v>22.54</v>
      </c>
      <c r="D27">
        <v>3014434275</v>
      </c>
      <c r="E27">
        <v>26</v>
      </c>
      <c r="F27">
        <v>36118429</v>
      </c>
      <c r="G27">
        <v>-0.30196805247864944</v>
      </c>
    </row>
    <row r="28" spans="1:7" x14ac:dyDescent="0.2">
      <c r="A28" t="s">
        <v>195</v>
      </c>
      <c r="B28" t="s">
        <v>113</v>
      </c>
      <c r="C28">
        <v>0.11190600000000001</v>
      </c>
      <c r="D28">
        <v>2867465033</v>
      </c>
      <c r="E28">
        <v>27</v>
      </c>
      <c r="F28">
        <v>87671181</v>
      </c>
      <c r="G28">
        <v>-8.77484258112724E-4</v>
      </c>
    </row>
    <row r="29" spans="1:7" x14ac:dyDescent="0.2">
      <c r="A29" t="s">
        <v>190</v>
      </c>
      <c r="B29" t="s">
        <v>108</v>
      </c>
      <c r="C29">
        <v>0.104572</v>
      </c>
      <c r="D29">
        <v>2643605525</v>
      </c>
      <c r="E29">
        <v>28</v>
      </c>
      <c r="F29">
        <v>26485222</v>
      </c>
      <c r="G29">
        <v>-1.809074745011949E-3</v>
      </c>
    </row>
    <row r="30" spans="1:7" x14ac:dyDescent="0.2">
      <c r="A30" t="s">
        <v>197</v>
      </c>
      <c r="B30" t="s">
        <v>115</v>
      </c>
      <c r="C30">
        <v>141.6</v>
      </c>
      <c r="D30">
        <v>2571738429</v>
      </c>
      <c r="E30">
        <v>29</v>
      </c>
      <c r="F30">
        <v>91013235</v>
      </c>
      <c r="G30">
        <v>-5.919201653526045</v>
      </c>
    </row>
    <row r="31" spans="1:7" x14ac:dyDescent="0.2">
      <c r="A31" t="s">
        <v>210</v>
      </c>
      <c r="B31" t="s">
        <v>128</v>
      </c>
      <c r="C31">
        <v>164.49</v>
      </c>
      <c r="D31">
        <v>2387985022</v>
      </c>
      <c r="E31">
        <v>30</v>
      </c>
      <c r="F31">
        <v>144729176</v>
      </c>
      <c r="G31">
        <v>-15.189567410739528</v>
      </c>
    </row>
    <row r="32" spans="1:7" x14ac:dyDescent="0.2">
      <c r="A32" t="s">
        <v>193</v>
      </c>
      <c r="B32" t="s">
        <v>111</v>
      </c>
      <c r="C32">
        <v>2.88</v>
      </c>
      <c r="D32">
        <v>2345235762</v>
      </c>
      <c r="E32">
        <v>31</v>
      </c>
      <c r="F32">
        <v>144954106</v>
      </c>
      <c r="G32">
        <v>-9.4912496823154075E-3</v>
      </c>
    </row>
    <row r="33" spans="1:7" x14ac:dyDescent="0.2">
      <c r="A33" t="s">
        <v>198</v>
      </c>
      <c r="B33" t="s">
        <v>116</v>
      </c>
      <c r="C33">
        <v>0.31092599999999998</v>
      </c>
      <c r="D33">
        <v>2182084060</v>
      </c>
      <c r="E33">
        <v>32</v>
      </c>
      <c r="F33">
        <v>68001729</v>
      </c>
      <c r="G33">
        <v>-3.7324822057651641E-3</v>
      </c>
    </row>
    <row r="34" spans="1:7" x14ac:dyDescent="0.2">
      <c r="A34" t="s">
        <v>199</v>
      </c>
      <c r="B34" t="s">
        <v>117</v>
      </c>
      <c r="C34">
        <v>107.48</v>
      </c>
      <c r="D34">
        <v>2066227424</v>
      </c>
      <c r="E34">
        <v>33</v>
      </c>
      <c r="F34">
        <v>446357136</v>
      </c>
      <c r="G34">
        <v>-0.10811028505052887</v>
      </c>
    </row>
    <row r="35" spans="1:7" x14ac:dyDescent="0.2">
      <c r="A35" t="s">
        <v>284</v>
      </c>
      <c r="B35" t="s">
        <v>285</v>
      </c>
      <c r="C35">
        <v>2.4554999999999998E-4</v>
      </c>
      <c r="D35">
        <v>1691392432</v>
      </c>
      <c r="E35">
        <v>34</v>
      </c>
      <c r="F35">
        <v>196619310</v>
      </c>
      <c r="G35">
        <v>-7.0380720286500001E-7</v>
      </c>
    </row>
    <row r="36" spans="1:7" x14ac:dyDescent="0.2">
      <c r="A36" t="s">
        <v>201</v>
      </c>
      <c r="B36" t="s">
        <v>119</v>
      </c>
      <c r="C36">
        <v>2.222476E-2</v>
      </c>
      <c r="D36">
        <v>1613657879</v>
      </c>
      <c r="E36">
        <v>35</v>
      </c>
      <c r="F36">
        <v>53966493</v>
      </c>
      <c r="G36">
        <v>-3.4955808544360302E-4</v>
      </c>
    </row>
    <row r="37" spans="1:7" x14ac:dyDescent="0.2">
      <c r="A37" t="s">
        <v>300</v>
      </c>
      <c r="B37" t="s">
        <v>301</v>
      </c>
      <c r="C37">
        <v>13.62</v>
      </c>
      <c r="D37">
        <v>1536082068</v>
      </c>
      <c r="E37">
        <v>36</v>
      </c>
      <c r="F37">
        <v>8023218</v>
      </c>
      <c r="G37">
        <v>0.233956</v>
      </c>
    </row>
    <row r="38" spans="1:7" x14ac:dyDescent="0.2">
      <c r="A38" t="s">
        <v>211</v>
      </c>
      <c r="B38" t="s">
        <v>129</v>
      </c>
      <c r="C38">
        <v>5.01</v>
      </c>
      <c r="D38">
        <v>1514859903</v>
      </c>
      <c r="E38">
        <v>37</v>
      </c>
      <c r="F38">
        <v>77859854</v>
      </c>
      <c r="G38">
        <v>-7.628086442916171E-2</v>
      </c>
    </row>
    <row r="39" spans="1:7" x14ac:dyDescent="0.2">
      <c r="A39" t="s">
        <v>200</v>
      </c>
      <c r="B39" t="s">
        <v>118</v>
      </c>
      <c r="C39">
        <v>1.45</v>
      </c>
      <c r="D39">
        <v>1506806203</v>
      </c>
      <c r="E39">
        <v>38</v>
      </c>
      <c r="F39">
        <v>26636506</v>
      </c>
      <c r="G39">
        <v>-1.6635201084999496E-2</v>
      </c>
    </row>
    <row r="40" spans="1:7" x14ac:dyDescent="0.2">
      <c r="A40" t="s">
        <v>207</v>
      </c>
      <c r="B40" t="s">
        <v>125</v>
      </c>
      <c r="C40">
        <v>5.8609000000000001E-2</v>
      </c>
      <c r="D40">
        <v>1428554639</v>
      </c>
      <c r="E40">
        <v>39</v>
      </c>
      <c r="F40">
        <v>35837790</v>
      </c>
      <c r="G40">
        <v>-1.693058052324378E-3</v>
      </c>
    </row>
    <row r="41" spans="1:7" x14ac:dyDescent="0.2">
      <c r="A41" t="s">
        <v>202</v>
      </c>
      <c r="B41" t="s">
        <v>120</v>
      </c>
      <c r="C41">
        <v>6.6318000000000002E-2</v>
      </c>
      <c r="D41">
        <v>1425966069</v>
      </c>
      <c r="E41">
        <v>40</v>
      </c>
      <c r="F41">
        <v>110948511</v>
      </c>
      <c r="G41">
        <v>4.9251199999999998E-3</v>
      </c>
    </row>
    <row r="42" spans="1:7" x14ac:dyDescent="0.2">
      <c r="A42" t="s">
        <v>213</v>
      </c>
      <c r="B42" t="s">
        <v>131</v>
      </c>
      <c r="C42">
        <v>58.38</v>
      </c>
      <c r="D42">
        <v>1385139583</v>
      </c>
      <c r="E42">
        <v>41</v>
      </c>
      <c r="F42">
        <v>69133153</v>
      </c>
      <c r="G42">
        <v>1.35</v>
      </c>
    </row>
    <row r="43" spans="1:7" x14ac:dyDescent="0.2">
      <c r="A43" t="s">
        <v>209</v>
      </c>
      <c r="B43" t="s">
        <v>127</v>
      </c>
      <c r="C43">
        <v>1</v>
      </c>
      <c r="D43">
        <v>1364691947</v>
      </c>
      <c r="E43">
        <v>42</v>
      </c>
      <c r="F43">
        <v>11744569</v>
      </c>
      <c r="G43">
        <v>1.12162E-3</v>
      </c>
    </row>
    <row r="44" spans="1:7" x14ac:dyDescent="0.2">
      <c r="A44" t="s">
        <v>203</v>
      </c>
      <c r="B44" t="s">
        <v>121</v>
      </c>
      <c r="C44">
        <v>4.28</v>
      </c>
      <c r="D44">
        <v>1344462136</v>
      </c>
      <c r="E44">
        <v>43</v>
      </c>
      <c r="F44">
        <v>122763818</v>
      </c>
      <c r="G44">
        <v>-6.6593435181073524E-2</v>
      </c>
    </row>
    <row r="45" spans="1:7" x14ac:dyDescent="0.2">
      <c r="A45" t="s">
        <v>204</v>
      </c>
      <c r="B45" t="s">
        <v>122</v>
      </c>
      <c r="C45">
        <v>4.88</v>
      </c>
      <c r="D45">
        <v>1315195894</v>
      </c>
      <c r="E45">
        <v>44</v>
      </c>
      <c r="F45">
        <v>35538458</v>
      </c>
      <c r="G45">
        <v>-2.535313464178568E-2</v>
      </c>
    </row>
    <row r="46" spans="1:7" x14ac:dyDescent="0.2">
      <c r="A46" t="s">
        <v>208</v>
      </c>
      <c r="B46" t="s">
        <v>126</v>
      </c>
      <c r="C46">
        <v>1.34</v>
      </c>
      <c r="D46">
        <v>1210587953</v>
      </c>
      <c r="E46">
        <v>45</v>
      </c>
      <c r="F46">
        <v>25445741</v>
      </c>
      <c r="G46">
        <v>-2.3664940647559529E-2</v>
      </c>
    </row>
    <row r="47" spans="1:7" x14ac:dyDescent="0.2">
      <c r="A47" t="s">
        <v>214</v>
      </c>
      <c r="B47" t="s">
        <v>132</v>
      </c>
      <c r="C47">
        <v>81.739999999999995</v>
      </c>
      <c r="D47">
        <v>1154688860</v>
      </c>
      <c r="E47">
        <v>46</v>
      </c>
      <c r="F47">
        <v>126280554</v>
      </c>
      <c r="G47">
        <v>-2.519378797378792</v>
      </c>
    </row>
    <row r="48" spans="1:7" x14ac:dyDescent="0.2">
      <c r="A48" t="s">
        <v>205</v>
      </c>
      <c r="B48" t="s">
        <v>123</v>
      </c>
      <c r="C48">
        <v>0.61514800000000003</v>
      </c>
      <c r="D48">
        <v>1115432679</v>
      </c>
      <c r="E48">
        <v>47</v>
      </c>
      <c r="F48">
        <v>91160025</v>
      </c>
      <c r="G48">
        <v>-4.2330984702158023E-3</v>
      </c>
    </row>
    <row r="49" spans="1:7" x14ac:dyDescent="0.2">
      <c r="A49" t="s">
        <v>206</v>
      </c>
      <c r="B49" t="s">
        <v>124</v>
      </c>
      <c r="C49">
        <v>0.73828700000000003</v>
      </c>
      <c r="D49">
        <v>1109614724</v>
      </c>
      <c r="E49">
        <v>48</v>
      </c>
      <c r="F49">
        <v>112506915</v>
      </c>
      <c r="G49">
        <v>-1.4709880680274456E-2</v>
      </c>
    </row>
    <row r="50" spans="1:7" x14ac:dyDescent="0.2">
      <c r="A50" t="s">
        <v>219</v>
      </c>
      <c r="B50" t="s">
        <v>137</v>
      </c>
      <c r="C50">
        <v>1.0569999999999999</v>
      </c>
      <c r="D50">
        <v>1070799636</v>
      </c>
      <c r="E50">
        <v>49</v>
      </c>
      <c r="F50">
        <v>193404315</v>
      </c>
      <c r="G50">
        <v>3.0656429999999998E-2</v>
      </c>
    </row>
    <row r="51" spans="1:7" x14ac:dyDescent="0.2">
      <c r="A51" t="s">
        <v>281</v>
      </c>
      <c r="B51" t="s">
        <v>282</v>
      </c>
      <c r="C51">
        <v>12.98</v>
      </c>
      <c r="D51">
        <v>1040365877</v>
      </c>
      <c r="E51">
        <v>50</v>
      </c>
      <c r="F51">
        <v>30745030</v>
      </c>
      <c r="G51">
        <v>-1.9985648236586329E-2</v>
      </c>
    </row>
    <row r="52" spans="1:7" x14ac:dyDescent="0.2">
      <c r="A52" t="s">
        <v>232</v>
      </c>
      <c r="B52" t="s">
        <v>149</v>
      </c>
      <c r="C52">
        <v>1.48</v>
      </c>
      <c r="D52">
        <v>1032655922</v>
      </c>
      <c r="E52">
        <v>51</v>
      </c>
      <c r="F52">
        <v>19662144</v>
      </c>
      <c r="G52">
        <v>9.1991000000000003E-2</v>
      </c>
    </row>
    <row r="53" spans="1:7" x14ac:dyDescent="0.2">
      <c r="A53" t="s">
        <v>234</v>
      </c>
      <c r="B53" t="s">
        <v>152</v>
      </c>
      <c r="C53">
        <v>7.8</v>
      </c>
      <c r="D53">
        <v>1024105422</v>
      </c>
      <c r="E53">
        <v>52</v>
      </c>
      <c r="F53">
        <v>31499717</v>
      </c>
      <c r="G53">
        <v>0.149973</v>
      </c>
    </row>
    <row r="54" spans="1:7" x14ac:dyDescent="0.2">
      <c r="A54" t="s">
        <v>212</v>
      </c>
      <c r="B54" t="s">
        <v>130</v>
      </c>
      <c r="C54">
        <v>9.91</v>
      </c>
      <c r="D54">
        <v>1018537620</v>
      </c>
      <c r="E54">
        <v>53</v>
      </c>
      <c r="F54">
        <v>95182910</v>
      </c>
      <c r="G54">
        <v>-0.54683325152609719</v>
      </c>
    </row>
    <row r="55" spans="1:7" x14ac:dyDescent="0.2">
      <c r="A55" t="s">
        <v>215</v>
      </c>
      <c r="B55" t="s">
        <v>133</v>
      </c>
      <c r="C55">
        <v>0.99264699999999995</v>
      </c>
      <c r="D55">
        <v>993485570</v>
      </c>
      <c r="E55">
        <v>54</v>
      </c>
      <c r="F55">
        <v>24944071</v>
      </c>
      <c r="G55">
        <v>-2.2143753065073768E-2</v>
      </c>
    </row>
    <row r="56" spans="1:7" x14ac:dyDescent="0.2">
      <c r="A56" t="s">
        <v>221</v>
      </c>
      <c r="B56" t="s">
        <v>139</v>
      </c>
      <c r="C56">
        <v>2.2675480000000001E-2</v>
      </c>
      <c r="D56">
        <v>975092486</v>
      </c>
      <c r="E56">
        <v>55</v>
      </c>
      <c r="F56">
        <v>14.38</v>
      </c>
      <c r="G56">
        <v>-3.5852854142471E-5</v>
      </c>
    </row>
    <row r="57" spans="1:7" x14ac:dyDescent="0.2">
      <c r="A57" t="s">
        <v>222</v>
      </c>
      <c r="B57" t="s">
        <v>140</v>
      </c>
      <c r="C57">
        <v>1045.1199999999999</v>
      </c>
      <c r="D57">
        <v>941903311</v>
      </c>
      <c r="E57">
        <v>56</v>
      </c>
      <c r="F57">
        <v>67961869</v>
      </c>
      <c r="G57">
        <v>-67.730820169079152</v>
      </c>
    </row>
    <row r="58" spans="1:7" x14ac:dyDescent="0.2">
      <c r="A58" t="s">
        <v>220</v>
      </c>
      <c r="B58" t="s">
        <v>138</v>
      </c>
      <c r="C58">
        <v>9.59</v>
      </c>
      <c r="D58">
        <v>938335120</v>
      </c>
      <c r="E58">
        <v>57</v>
      </c>
      <c r="F58">
        <v>1226265</v>
      </c>
      <c r="G58">
        <v>2.8919200000000001E-3</v>
      </c>
    </row>
    <row r="59" spans="1:7" x14ac:dyDescent="0.2">
      <c r="A59" t="s">
        <v>302</v>
      </c>
      <c r="B59" t="s">
        <v>303</v>
      </c>
      <c r="C59">
        <v>7.11</v>
      </c>
      <c r="D59">
        <v>925581838</v>
      </c>
      <c r="E59">
        <v>58</v>
      </c>
      <c r="F59">
        <v>408912613</v>
      </c>
      <c r="G59">
        <v>-0.55710174555313152</v>
      </c>
    </row>
    <row r="60" spans="1:7" x14ac:dyDescent="0.2">
      <c r="A60" t="s">
        <v>218</v>
      </c>
      <c r="B60" t="s">
        <v>136</v>
      </c>
      <c r="C60">
        <v>47.59</v>
      </c>
      <c r="D60">
        <v>914691279</v>
      </c>
      <c r="E60">
        <v>59</v>
      </c>
      <c r="F60">
        <v>16419044</v>
      </c>
      <c r="G60">
        <v>-7.731241947773527E-3</v>
      </c>
    </row>
    <row r="61" spans="1:7" x14ac:dyDescent="0.2">
      <c r="A61" t="s">
        <v>243</v>
      </c>
      <c r="B61" t="s">
        <v>161</v>
      </c>
      <c r="C61">
        <v>0.16947999999999999</v>
      </c>
      <c r="D61">
        <v>906374172</v>
      </c>
      <c r="E61">
        <v>60</v>
      </c>
      <c r="F61">
        <v>165104458</v>
      </c>
      <c r="G61">
        <v>-8.2474599694196682E-3</v>
      </c>
    </row>
    <row r="62" spans="1:7" x14ac:dyDescent="0.2">
      <c r="A62" t="s">
        <v>226</v>
      </c>
      <c r="B62" t="s">
        <v>144</v>
      </c>
      <c r="C62">
        <v>0.99677499999999997</v>
      </c>
      <c r="D62">
        <v>896553262</v>
      </c>
      <c r="E62">
        <v>61</v>
      </c>
      <c r="F62">
        <v>19382024</v>
      </c>
      <c r="G62">
        <v>4.6436999999999997E-4</v>
      </c>
    </row>
    <row r="63" spans="1:7" x14ac:dyDescent="0.2">
      <c r="A63" t="s">
        <v>216</v>
      </c>
      <c r="B63" t="s">
        <v>134</v>
      </c>
      <c r="C63">
        <v>1</v>
      </c>
      <c r="D63">
        <v>881273968</v>
      </c>
      <c r="E63">
        <v>62</v>
      </c>
      <c r="F63">
        <v>24762388</v>
      </c>
      <c r="G63">
        <v>2.7812499999999999E-3</v>
      </c>
    </row>
    <row r="64" spans="1:7" x14ac:dyDescent="0.2">
      <c r="A64" t="s">
        <v>237</v>
      </c>
      <c r="B64" t="s">
        <v>155</v>
      </c>
      <c r="C64">
        <v>0.99891700000000005</v>
      </c>
      <c r="D64">
        <v>725694780</v>
      </c>
      <c r="E64">
        <v>63</v>
      </c>
      <c r="F64">
        <v>60404575</v>
      </c>
      <c r="G64">
        <v>6.8108000000000003E-4</v>
      </c>
    </row>
    <row r="65" spans="1:7" x14ac:dyDescent="0.2">
      <c r="A65" t="s">
        <v>223</v>
      </c>
      <c r="B65" t="s">
        <v>141</v>
      </c>
      <c r="C65">
        <v>7.6522100000000005E-7</v>
      </c>
      <c r="D65">
        <v>722770770</v>
      </c>
      <c r="E65">
        <v>64</v>
      </c>
      <c r="F65">
        <v>11055254</v>
      </c>
      <c r="G65">
        <v>-9.4798345590000002E-9</v>
      </c>
    </row>
    <row r="66" spans="1:7" x14ac:dyDescent="0.2">
      <c r="A66" t="s">
        <v>229</v>
      </c>
      <c r="B66" t="s">
        <v>147</v>
      </c>
      <c r="C66">
        <v>3.6489999999999998E-5</v>
      </c>
      <c r="D66">
        <v>701400615</v>
      </c>
      <c r="E66">
        <v>65</v>
      </c>
      <c r="F66">
        <v>4585038</v>
      </c>
      <c r="G66">
        <v>-2.7477717766799999E-7</v>
      </c>
    </row>
    <row r="67" spans="1:7" x14ac:dyDescent="0.2">
      <c r="A67" t="s">
        <v>225</v>
      </c>
      <c r="B67" t="s">
        <v>143</v>
      </c>
      <c r="C67">
        <v>0.24641099999999999</v>
      </c>
      <c r="D67">
        <v>685693915</v>
      </c>
      <c r="E67">
        <v>66</v>
      </c>
      <c r="F67">
        <v>8842382</v>
      </c>
      <c r="G67">
        <v>-4.60887186916337E-4</v>
      </c>
    </row>
    <row r="68" spans="1:7" x14ac:dyDescent="0.2">
      <c r="A68" t="s">
        <v>230</v>
      </c>
      <c r="B68" t="s">
        <v>148</v>
      </c>
      <c r="C68">
        <v>52.24</v>
      </c>
      <c r="D68">
        <v>676298684</v>
      </c>
      <c r="E68">
        <v>67</v>
      </c>
      <c r="F68">
        <v>68591800</v>
      </c>
      <c r="G68">
        <v>0.530694</v>
      </c>
    </row>
    <row r="69" spans="1:7" x14ac:dyDescent="0.2">
      <c r="A69" t="s">
        <v>296</v>
      </c>
      <c r="B69" t="s">
        <v>297</v>
      </c>
      <c r="C69">
        <v>6.25</v>
      </c>
      <c r="D69">
        <v>668844130</v>
      </c>
      <c r="E69">
        <v>68</v>
      </c>
      <c r="F69">
        <v>35105667</v>
      </c>
      <c r="G69">
        <v>-0.11642377774848978</v>
      </c>
    </row>
    <row r="70" spans="1:7" x14ac:dyDescent="0.2">
      <c r="A70" t="s">
        <v>250</v>
      </c>
      <c r="B70" t="s">
        <v>168</v>
      </c>
      <c r="C70">
        <v>4.4400000000000004</v>
      </c>
      <c r="D70">
        <v>651419104</v>
      </c>
      <c r="E70">
        <v>69</v>
      </c>
      <c r="F70">
        <v>44121494</v>
      </c>
      <c r="G70">
        <v>2.543749E-2</v>
      </c>
    </row>
    <row r="71" spans="1:7" x14ac:dyDescent="0.2">
      <c r="A71" t="s">
        <v>244</v>
      </c>
      <c r="B71" t="s">
        <v>162</v>
      </c>
      <c r="C71">
        <v>4.3899999999999997</v>
      </c>
      <c r="D71">
        <v>639394477</v>
      </c>
      <c r="E71">
        <v>70</v>
      </c>
      <c r="F71">
        <v>2044275</v>
      </c>
      <c r="G71">
        <v>2.0050399999999999E-2</v>
      </c>
    </row>
    <row r="72" spans="1:7" x14ac:dyDescent="0.2">
      <c r="A72" t="s">
        <v>235</v>
      </c>
      <c r="B72" t="s">
        <v>153</v>
      </c>
      <c r="C72">
        <v>2.2096080000000001E-2</v>
      </c>
      <c r="D72">
        <v>629987629</v>
      </c>
      <c r="E72">
        <v>71</v>
      </c>
      <c r="F72">
        <v>87.63</v>
      </c>
      <c r="G72">
        <v>-3.7089120359285997E-5</v>
      </c>
    </row>
    <row r="73" spans="1:7" x14ac:dyDescent="0.2">
      <c r="A73" t="s">
        <v>228</v>
      </c>
      <c r="B73" t="s">
        <v>146</v>
      </c>
      <c r="C73">
        <v>7.9729999999999995E-2</v>
      </c>
      <c r="D73">
        <v>590129945</v>
      </c>
      <c r="E73">
        <v>72</v>
      </c>
      <c r="F73">
        <v>23968431</v>
      </c>
      <c r="G73">
        <v>-1.4717796914497649E-3</v>
      </c>
    </row>
    <row r="74" spans="1:7" x14ac:dyDescent="0.2">
      <c r="A74" t="s">
        <v>275</v>
      </c>
      <c r="B74" t="s">
        <v>276</v>
      </c>
      <c r="C74">
        <v>1.74</v>
      </c>
      <c r="D74">
        <v>565319216</v>
      </c>
      <c r="E74">
        <v>73</v>
      </c>
      <c r="F74">
        <v>2257299</v>
      </c>
      <c r="G74">
        <v>8.4585999999999995E-2</v>
      </c>
    </row>
    <row r="75" spans="1:7" x14ac:dyDescent="0.2">
      <c r="A75" t="s">
        <v>238</v>
      </c>
      <c r="B75" t="s">
        <v>156</v>
      </c>
      <c r="C75">
        <v>7.85</v>
      </c>
      <c r="D75">
        <v>554428015</v>
      </c>
      <c r="E75">
        <v>74</v>
      </c>
      <c r="F75">
        <v>24102497</v>
      </c>
      <c r="G75">
        <v>4.3471080000000002E-2</v>
      </c>
    </row>
    <row r="76" spans="1:7" x14ac:dyDescent="0.2">
      <c r="A76" t="s">
        <v>277</v>
      </c>
      <c r="B76" t="s">
        <v>278</v>
      </c>
      <c r="C76">
        <v>1.1599999999999999</v>
      </c>
      <c r="D76">
        <v>544703067</v>
      </c>
      <c r="E76">
        <v>75</v>
      </c>
      <c r="F76">
        <v>8891845</v>
      </c>
      <c r="G76">
        <v>-2.2769386196773045E-2</v>
      </c>
    </row>
    <row r="77" spans="1:7" x14ac:dyDescent="0.2">
      <c r="A77" t="s">
        <v>217</v>
      </c>
      <c r="B77" t="s">
        <v>135</v>
      </c>
      <c r="C77">
        <v>4.16</v>
      </c>
      <c r="D77">
        <v>544403263</v>
      </c>
      <c r="E77">
        <v>76</v>
      </c>
      <c r="F77">
        <v>2582842</v>
      </c>
      <c r="G77">
        <v>-0.12606408977689032</v>
      </c>
    </row>
    <row r="78" spans="1:7" x14ac:dyDescent="0.2">
      <c r="A78" t="s">
        <v>239</v>
      </c>
      <c r="B78" t="s">
        <v>157</v>
      </c>
      <c r="C78">
        <v>2.2400000000000002</v>
      </c>
      <c r="D78">
        <v>539531611</v>
      </c>
      <c r="E78">
        <v>77</v>
      </c>
      <c r="F78">
        <v>63928968</v>
      </c>
      <c r="G78">
        <v>-0.1446789431336275</v>
      </c>
    </row>
    <row r="79" spans="1:7" x14ac:dyDescent="0.2">
      <c r="A79" t="s">
        <v>224</v>
      </c>
      <c r="B79" t="s">
        <v>142</v>
      </c>
      <c r="C79">
        <v>25.9</v>
      </c>
      <c r="D79">
        <v>536281694</v>
      </c>
      <c r="E79">
        <v>78</v>
      </c>
      <c r="F79">
        <v>14.36</v>
      </c>
      <c r="G79">
        <v>-0.20289208993727215</v>
      </c>
    </row>
    <row r="80" spans="1:7" x14ac:dyDescent="0.2">
      <c r="A80" t="s">
        <v>227</v>
      </c>
      <c r="B80" t="s">
        <v>145</v>
      </c>
      <c r="C80">
        <v>0.20077800000000001</v>
      </c>
      <c r="D80">
        <v>510366443</v>
      </c>
      <c r="E80">
        <v>79</v>
      </c>
      <c r="F80">
        <v>98859555</v>
      </c>
      <c r="G80">
        <v>-4.2822721353452109E-3</v>
      </c>
    </row>
    <row r="81" spans="1:7" x14ac:dyDescent="0.2">
      <c r="A81" t="s">
        <v>240</v>
      </c>
      <c r="B81" t="s">
        <v>158</v>
      </c>
      <c r="C81">
        <v>5.0934E-2</v>
      </c>
      <c r="D81">
        <v>510175469</v>
      </c>
      <c r="E81">
        <v>80</v>
      </c>
      <c r="F81">
        <v>495083</v>
      </c>
      <c r="G81">
        <v>-1.00554187687512E-3</v>
      </c>
    </row>
    <row r="82" spans="1:7" x14ac:dyDescent="0.2">
      <c r="A82" t="s">
        <v>236</v>
      </c>
      <c r="B82" t="s">
        <v>154</v>
      </c>
      <c r="C82">
        <v>9.9600000000000009</v>
      </c>
      <c r="D82">
        <v>500348424</v>
      </c>
      <c r="E82">
        <v>81</v>
      </c>
      <c r="F82">
        <v>8721537</v>
      </c>
      <c r="G82">
        <v>-0.15728018187267345</v>
      </c>
    </row>
    <row r="83" spans="1:7" x14ac:dyDescent="0.2">
      <c r="A83" t="s">
        <v>273</v>
      </c>
      <c r="B83" t="s">
        <v>274</v>
      </c>
      <c r="C83">
        <v>0.88707800000000003</v>
      </c>
      <c r="D83">
        <v>497653469</v>
      </c>
      <c r="E83">
        <v>82</v>
      </c>
      <c r="F83">
        <v>3804711</v>
      </c>
      <c r="G83">
        <v>5.7064200000000002E-3</v>
      </c>
    </row>
    <row r="84" spans="1:7" x14ac:dyDescent="0.2">
      <c r="A84" t="s">
        <v>246</v>
      </c>
      <c r="B84" t="s">
        <v>164</v>
      </c>
      <c r="C84">
        <v>1627.84</v>
      </c>
      <c r="D84">
        <v>495085584</v>
      </c>
      <c r="E84">
        <v>83</v>
      </c>
      <c r="F84">
        <v>5430508</v>
      </c>
      <c r="G84">
        <v>3.73</v>
      </c>
    </row>
    <row r="85" spans="1:7" x14ac:dyDescent="0.2">
      <c r="A85" t="s">
        <v>298</v>
      </c>
      <c r="B85" t="s">
        <v>299</v>
      </c>
      <c r="C85">
        <v>1.1200000000000001</v>
      </c>
      <c r="D85">
        <v>468354638</v>
      </c>
      <c r="E85">
        <v>84</v>
      </c>
      <c r="F85">
        <v>16104794</v>
      </c>
      <c r="G85">
        <v>1.5829289999999999E-2</v>
      </c>
    </row>
    <row r="86" spans="1:7" x14ac:dyDescent="0.2">
      <c r="A86" t="s">
        <v>304</v>
      </c>
      <c r="B86" t="s">
        <v>305</v>
      </c>
      <c r="C86">
        <v>0.85727299999999995</v>
      </c>
      <c r="D86">
        <v>466713962</v>
      </c>
      <c r="E86">
        <v>85</v>
      </c>
      <c r="F86">
        <v>70031472</v>
      </c>
      <c r="G86">
        <v>-2.097457702837735E-2</v>
      </c>
    </row>
    <row r="87" spans="1:7" x14ac:dyDescent="0.2">
      <c r="A87" t="s">
        <v>247</v>
      </c>
      <c r="B87" t="s">
        <v>165</v>
      </c>
      <c r="C87">
        <v>0.43076300000000001</v>
      </c>
      <c r="D87">
        <v>464041186</v>
      </c>
      <c r="E87">
        <v>86</v>
      </c>
      <c r="F87">
        <v>12775859</v>
      </c>
      <c r="G87">
        <v>-5.5816286217691402E-4</v>
      </c>
    </row>
    <row r="88" spans="1:7" x14ac:dyDescent="0.2">
      <c r="A88" t="s">
        <v>294</v>
      </c>
      <c r="B88" t="s">
        <v>295</v>
      </c>
      <c r="C88">
        <v>17.829999999999998</v>
      </c>
      <c r="D88">
        <v>459877149</v>
      </c>
      <c r="E88">
        <v>87</v>
      </c>
      <c r="F88">
        <v>57762577</v>
      </c>
      <c r="G88">
        <v>-0.75131197778040004</v>
      </c>
    </row>
    <row r="89" spans="1:7" x14ac:dyDescent="0.2">
      <c r="A89" t="s">
        <v>241</v>
      </c>
      <c r="B89" t="s">
        <v>159</v>
      </c>
      <c r="C89">
        <v>2.9520330000000001E-2</v>
      </c>
      <c r="D89">
        <v>442397071</v>
      </c>
      <c r="E89">
        <v>88</v>
      </c>
      <c r="F89">
        <v>50690067</v>
      </c>
      <c r="G89">
        <v>-6.1703678597606001E-4</v>
      </c>
    </row>
    <row r="90" spans="1:7" x14ac:dyDescent="0.2">
      <c r="A90" t="s">
        <v>249</v>
      </c>
      <c r="B90" t="s">
        <v>167</v>
      </c>
      <c r="C90">
        <v>40.18</v>
      </c>
      <c r="D90">
        <v>440927341</v>
      </c>
      <c r="E90">
        <v>89</v>
      </c>
      <c r="F90">
        <v>29919788</v>
      </c>
      <c r="G90">
        <v>-0.23048346517533955</v>
      </c>
    </row>
    <row r="91" spans="1:7" x14ac:dyDescent="0.2">
      <c r="A91" t="s">
        <v>231</v>
      </c>
      <c r="B91" t="s">
        <v>150</v>
      </c>
      <c r="C91">
        <v>1.45</v>
      </c>
      <c r="D91">
        <v>437455566</v>
      </c>
      <c r="E91">
        <v>90</v>
      </c>
      <c r="F91">
        <v>35013876</v>
      </c>
      <c r="G91">
        <v>-1.9873726646659321E-2</v>
      </c>
    </row>
    <row r="92" spans="1:7" x14ac:dyDescent="0.2">
      <c r="A92" t="s">
        <v>306</v>
      </c>
      <c r="B92" t="s">
        <v>307</v>
      </c>
      <c r="C92">
        <v>4.139996E-2</v>
      </c>
      <c r="D92">
        <v>433720053</v>
      </c>
      <c r="E92">
        <v>91</v>
      </c>
      <c r="F92">
        <v>22452437</v>
      </c>
      <c r="G92">
        <v>-1.119073123097281E-3</v>
      </c>
    </row>
    <row r="93" spans="1:7" x14ac:dyDescent="0.2">
      <c r="A93" t="s">
        <v>290</v>
      </c>
      <c r="B93" t="s">
        <v>291</v>
      </c>
      <c r="C93">
        <v>1.44</v>
      </c>
      <c r="D93">
        <v>429860066</v>
      </c>
      <c r="E93">
        <v>92</v>
      </c>
      <c r="F93">
        <v>36426326</v>
      </c>
      <c r="G93">
        <v>4.5686690000000002E-2</v>
      </c>
    </row>
    <row r="94" spans="1:7" x14ac:dyDescent="0.2">
      <c r="A94" t="s">
        <v>292</v>
      </c>
      <c r="B94" t="s">
        <v>293</v>
      </c>
      <c r="C94">
        <v>3.0782210000000001E-2</v>
      </c>
      <c r="D94">
        <v>425075776</v>
      </c>
      <c r="E94">
        <v>93</v>
      </c>
      <c r="F94">
        <v>4095303</v>
      </c>
      <c r="G94">
        <v>1.1095999999999999E-4</v>
      </c>
    </row>
    <row r="95" spans="1:7" x14ac:dyDescent="0.2">
      <c r="A95" t="s">
        <v>248</v>
      </c>
      <c r="B95" t="s">
        <v>166</v>
      </c>
      <c r="C95">
        <v>0.42223300000000002</v>
      </c>
      <c r="D95">
        <v>422585303</v>
      </c>
      <c r="E95">
        <v>94</v>
      </c>
      <c r="F95">
        <v>21034804</v>
      </c>
      <c r="G95">
        <v>-9.7030667956570799E-3</v>
      </c>
    </row>
    <row r="96" spans="1:7" x14ac:dyDescent="0.2">
      <c r="A96" t="s">
        <v>242</v>
      </c>
      <c r="B96" t="s">
        <v>160</v>
      </c>
      <c r="C96">
        <v>0.277866</v>
      </c>
      <c r="D96">
        <v>416131331</v>
      </c>
      <c r="E96">
        <v>95</v>
      </c>
      <c r="F96">
        <v>39739789</v>
      </c>
      <c r="G96">
        <v>-3.4556975265386258E-3</v>
      </c>
    </row>
    <row r="97" spans="1:7" x14ac:dyDescent="0.2">
      <c r="A97" t="s">
        <v>233</v>
      </c>
      <c r="B97" t="s">
        <v>151</v>
      </c>
      <c r="C97">
        <v>0.13460800000000001</v>
      </c>
      <c r="D97">
        <v>415419688</v>
      </c>
      <c r="E97">
        <v>96</v>
      </c>
      <c r="F97">
        <v>22942535</v>
      </c>
      <c r="G97">
        <v>-4.6015102890982207E-3</v>
      </c>
    </row>
    <row r="98" spans="1:7" x14ac:dyDescent="0.2">
      <c r="A98" t="s">
        <v>308</v>
      </c>
      <c r="B98" t="s">
        <v>309</v>
      </c>
      <c r="C98">
        <v>6.14</v>
      </c>
      <c r="D98">
        <v>414560328</v>
      </c>
      <c r="E98">
        <v>97</v>
      </c>
      <c r="F98">
        <v>4680030</v>
      </c>
      <c r="G98">
        <v>-3.7187111838042242E-2</v>
      </c>
    </row>
    <row r="99" spans="1:7" x14ac:dyDescent="0.2">
      <c r="A99" t="s">
        <v>288</v>
      </c>
      <c r="B99" t="s">
        <v>289</v>
      </c>
      <c r="C99">
        <v>1634.04</v>
      </c>
      <c r="D99">
        <v>412911592</v>
      </c>
      <c r="E99">
        <v>98</v>
      </c>
      <c r="F99">
        <v>222803</v>
      </c>
      <c r="G99">
        <v>-32.130106230642696</v>
      </c>
    </row>
    <row r="100" spans="1:7" x14ac:dyDescent="0.2">
      <c r="A100" t="s">
        <v>286</v>
      </c>
      <c r="B100" t="s">
        <v>287</v>
      </c>
      <c r="C100">
        <v>21.64</v>
      </c>
      <c r="D100">
        <v>408589037</v>
      </c>
      <c r="E100">
        <v>99</v>
      </c>
      <c r="F100">
        <v>1796361</v>
      </c>
      <c r="G100">
        <v>-0.37295892883983939</v>
      </c>
    </row>
    <row r="101" spans="1:7" x14ac:dyDescent="0.2">
      <c r="A101" t="s">
        <v>245</v>
      </c>
      <c r="B101" t="s">
        <v>163</v>
      </c>
      <c r="C101">
        <v>0.30179099999999998</v>
      </c>
      <c r="D101">
        <v>404704411</v>
      </c>
      <c r="E101">
        <v>100</v>
      </c>
      <c r="F101">
        <v>13796804</v>
      </c>
      <c r="G101">
        <v>5.5301700000000001E-3</v>
      </c>
    </row>
  </sheetData>
  <phoneticPr fontId="8"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B3E073-EBAA-4F36-BF26-85621A54351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Financial Logger</vt:lpstr>
      <vt:lpstr>Crypto API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 Cohen</dc:creator>
  <cp:keywords/>
  <dc:description/>
  <cp:lastModifiedBy>Josh Cohen</cp:lastModifiedBy>
  <dcterms:created xsi:type="dcterms:W3CDTF">2015-06-05T18:17:20Z</dcterms:created>
  <dcterms:modified xsi:type="dcterms:W3CDTF">2022-10-26T14:25:25Z</dcterms:modified>
  <cp:category/>
</cp:coreProperties>
</file>